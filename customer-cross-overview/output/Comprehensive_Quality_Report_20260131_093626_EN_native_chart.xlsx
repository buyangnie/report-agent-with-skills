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_ChartData" sheetId="2" state="hidden" r:id="rId2"/>
    <sheet xmlns:r="http://schemas.openxmlformats.org/officeDocument/2006/relationships" name="INC_Analysis" sheetId="3" state="visible" r:id="rId3"/>
    <sheet xmlns:r="http://schemas.openxmlformats.org/officeDocument/2006/relationships" name="INC_SLA" sheetId="4" state="visible" r:id="rId4"/>
    <sheet xmlns:r="http://schemas.openxmlformats.org/officeDocument/2006/relationships" name="CHG_Analysis" sheetId="5" state="visible" r:id="rId5"/>
    <sheet xmlns:r="http://schemas.openxmlformats.org/officeDocument/2006/relationships" name="SRQ_Analysis" sheetId="6" state="visible" r:id="rId6"/>
    <sheet xmlns:r="http://schemas.openxmlformats.org/officeDocument/2006/relationships" name="PRO_Analysis" sheetId="7" state="visible" r:id="rId7"/>
    <sheet xmlns:r="http://schemas.openxmlformats.org/officeDocument/2006/relationships" name="CRO_Cross-Process" sheetId="8" state="visible" r:id="rId8"/>
    <sheet xmlns:r="http://schemas.openxmlformats.org/officeDocument/2006/relationships" name="CRO_Personnel" sheetId="9" state="visible" r:id="rId9"/>
    <sheet xmlns:r="http://schemas.openxmlformats.org/officeDocument/2006/relationships" name="CRO_Time Analysis" sheetId="10" state="visible" r:id="rId10"/>
    <sheet xmlns:r="http://schemas.openxmlformats.org/officeDocument/2006/relationships" name="Action Plan" sheetId="11" state="visible" r:id="rId11"/>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1e3a5f"/>
      <sz val="18"/>
    </font>
    <font>
      <name val="Calibri"/>
      <color rgb="0064748b"/>
      <sz val="14"/>
    </font>
    <font>
      <name val="Calibri"/>
      <b val="1"/>
      <color rgb="001e3a5f"/>
      <sz val="12"/>
    </font>
    <font>
      <name val="Calibri"/>
      <b val="1"/>
      <color rgb="00ffffff"/>
      <sz val="10"/>
    </font>
    <font>
      <name val="Calibri"/>
      <color rgb="001e293b"/>
      <sz val="10"/>
    </font>
    <font>
      <color rgb="003b82f6"/>
      <sz val="10"/>
      <u val="single"/>
    </font>
    <font>
      <name val="Calibri"/>
      <i val="1"/>
      <color rgb="0064748b"/>
      <sz val="9"/>
    </font>
    <font>
      <name val="Calibri"/>
      <b val="1"/>
      <color rgb="001e3a5f"/>
      <sz val="11"/>
    </font>
    <font>
      <name val="Calibri"/>
      <color rgb="00334155"/>
      <sz val="10"/>
    </font>
    <font>
      <name val="Calibri"/>
      <b val="1"/>
      <color rgb="001e3a5f"/>
      <sz val="10"/>
    </font>
    <font>
      <name val="Calibri"/>
      <i val="1"/>
      <color rgb="0064748b"/>
      <sz val="8"/>
    </font>
    <font>
      <name val="Arial"/>
      <color rgb="001e293b"/>
      <sz val="10"/>
    </font>
    <font>
      <b val="1"/>
      <sz val="11"/>
    </font>
  </fonts>
  <fills count="6">
    <fill>
      <patternFill/>
    </fill>
    <fill>
      <patternFill patternType="gray125"/>
    </fill>
    <fill>
      <patternFill patternType="solid">
        <fgColor rgb="001e3a5f"/>
        <bgColor rgb="001e3a5f"/>
      </patternFill>
    </fill>
    <fill>
      <patternFill patternType="solid">
        <fgColor rgb="00f1f5f9"/>
        <bgColor rgb="00f1f5f9"/>
      </patternFill>
    </fill>
    <fill>
      <patternFill patternType="solid">
        <fgColor rgb="00ffffff"/>
        <bgColor rgb="00ffffff"/>
      </patternFill>
    </fill>
    <fill>
      <patternFill patternType="solid">
        <fgColor rgb="00f0f9ff"/>
        <bgColor rgb="00f0f9ff"/>
      </patternFill>
    </fill>
  </fills>
  <borders count="3">
    <border>
      <left/>
      <right/>
      <top/>
      <bottom/>
      <diagonal/>
    </border>
    <border>
      <bottom style="thin">
        <color rgb="00cbd5e1"/>
      </bottom>
    </border>
    <border>
      <bottom style="thin">
        <color rgb="00e2e8f0"/>
      </bottom>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1" applyAlignment="1" pivotButton="0" quotePrefix="0" xfId="0">
      <alignment horizontal="center" vertical="center"/>
    </xf>
    <xf numFmtId="0" fontId="5" fillId="3" borderId="2" applyAlignment="1" pivotButton="0" quotePrefix="0" xfId="0">
      <alignment horizontal="left" vertical="center"/>
    </xf>
    <xf numFmtId="0" fontId="5" fillId="4" borderId="2" applyAlignment="1" pivotButton="0" quotePrefix="0" xfId="0">
      <alignment horizontal="left" vertical="center"/>
    </xf>
    <xf numFmtId="0" fontId="6" fillId="0" borderId="0" pivotButton="0" quotePrefix="0" xfId="0"/>
    <xf numFmtId="0" fontId="7" fillId="0" borderId="0" applyAlignment="1" pivotButton="0" quotePrefix="0" xfId="0">
      <alignment horizontal="left" vertical="center"/>
    </xf>
    <xf numFmtId="0" fontId="8" fillId="5" borderId="0" applyAlignment="1" pivotButton="0" quotePrefix="0" xfId="0">
      <alignment horizontal="left" vertical="center"/>
    </xf>
    <xf numFmtId="0" fontId="9" fillId="5" borderId="0" applyAlignment="1" pivotButton="0" quotePrefix="0" xfId="0">
      <alignment horizontal="left" vertical="center" wrapText="1"/>
    </xf>
    <xf numFmtId="0" fontId="10" fillId="5" borderId="0" applyAlignment="1" pivotButton="0" quotePrefix="0" xfId="0">
      <alignment horizontal="left" vertical="center" wrapText="1"/>
    </xf>
    <xf numFmtId="0" fontId="11" fillId="0" borderId="0" applyAlignment="1" pivotButton="0" quotePrefix="0" xfId="0">
      <alignment horizontal="center" vertical="center"/>
    </xf>
    <xf numFmtId="0" fontId="12" fillId="3" borderId="2" applyAlignment="1" pivotButton="0" quotePrefix="0" xfId="0">
      <alignment horizontal="right" vertical="center"/>
    </xf>
    <xf numFmtId="0" fontId="12" fillId="4" borderId="2" applyAlignment="1" pivotButton="0" quotePrefix="0" xfId="0">
      <alignment horizontal="right" vertical="center"/>
    </xf>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Health Score: 33/100</a:t>
            </a:r>
          </a:p>
        </rich>
      </tx>
      <overlay val="1"/>
    </title>
    <plotArea>
      <doughnutChart>
        <varyColors val="1"/>
        <ser>
          <idx val="0"/>
          <order val="0"/>
          <tx>
            <strRef>
              <f>'_ChartData'!B1</f>
            </strRef>
          </tx>
          <spPr>
            <a:ln xmlns:a="http://schemas.openxmlformats.org/drawingml/2006/main">
              <a:prstDash val="solid"/>
            </a:ln>
          </spPr>
          <dPt>
            <idx val="0"/>
            <spPr>
              <a:solidFill xmlns:a="http://schemas.openxmlformats.org/drawingml/2006/main">
                <a:srgbClr val="ef4444"/>
              </a:solidFill>
              <a:ln xmlns:a="http://schemas.openxmlformats.org/drawingml/2006/main">
                <a:prstDash val="solid"/>
              </a:ln>
            </spPr>
          </dPt>
          <dPt>
            <idx val="1"/>
            <spPr>
              <a:solidFill xmlns:a="http://schemas.openxmlformats.org/drawingml/2006/main">
                <a:srgbClr val="e2e8f0"/>
              </a:solidFill>
              <a:ln xmlns:a="http://schemas.openxmlformats.org/drawingml/2006/main">
                <a:prstDash val="solid"/>
              </a:ln>
            </spPr>
          </dPt>
          <cat>
            <numRef>
              <f>'_ChartData'!$A$2:$A$3</f>
            </numRef>
          </cat>
          <val>
            <numRef>
              <f>'_ChartData'!$B$2:$B$3</f>
            </numRef>
          </val>
        </ser>
        <dLbls>
          <showVal val="0"/>
          <showCatName val="0"/>
          <showSerName val="0"/>
          <showPercent val="1"/>
        </dLbls>
        <firstSliceAng val="0"/>
        <holeSize val="10"/>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Process Health Radar</a:t>
            </a:r>
          </a:p>
        </rich>
      </tx>
      <overlay val="1"/>
    </title>
    <plotArea>
      <radarChart>
        <radarStyle val="filled"/>
        <ser>
          <idx val="0"/>
          <order val="0"/>
          <tx>
            <strRef>
              <f>'_ChartData'!B5</f>
            </strRef>
          </tx>
          <spPr>
            <a:solidFill xmlns:a="http://schemas.openxmlformats.org/drawingml/2006/main">
              <a:srgbClr val="3b82f6"/>
            </a:solidFill>
            <a:ln xmlns:a="http://schemas.openxmlformats.org/drawingml/2006/main">
              <a:prstDash val="solid"/>
            </a:ln>
          </spPr>
          <marker>
            <symbol val="none"/>
            <spPr>
              <a:ln xmlns:a="http://schemas.openxmlformats.org/drawingml/2006/main">
                <a:prstDash val="solid"/>
              </a:ln>
            </spPr>
          </marker>
          <cat>
            <numRef>
              <f>'_ChartData'!$A$6:$A$9</f>
            </numRef>
          </cat>
          <val>
            <numRef>
              <f>'_ChartData'!$B$6:$B$9</f>
            </numRef>
          </val>
        </ser>
        <axId val="10"/>
        <axId val="100"/>
      </radarChart>
      <catAx>
        <axId val="10"/>
        <scaling>
          <orientation val="minMax"/>
        </scaling>
        <axPos val="l"/>
        <majorTickMark val="none"/>
        <minorTickMark val="none"/>
        <crossAx val="100"/>
        <lblOffset val="100"/>
      </catAx>
      <valAx>
        <axId val="100"/>
        <scaling>
          <orientation val="minMax"/>
          <max val="100"/>
        </scaling>
        <axPos val="l"/>
        <majorGridlines/>
        <majorTickMark val="none"/>
        <minorTickMark val="none"/>
        <crossAx val="10"/>
      </valAx>
    </plotArea>
    <legend>
      <legendPos val="b"/>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Monthly Incident Trend</a:t>
            </a:r>
          </a:p>
        </rich>
      </tx>
      <overlay val="1"/>
    </title>
    <plotArea>
      <barChart>
        <barDir val="col"/>
        <grouping val="clustered"/>
        <ser>
          <idx val="0"/>
          <order val="0"/>
          <tx>
            <strRef>
              <f>'_ChartData'!B11</f>
            </strRef>
          </tx>
          <spPr>
            <a:ln xmlns:a="http://schemas.openxmlformats.org/drawingml/2006/main">
              <a:prstDash val="solid"/>
            </a:ln>
          </spPr>
          <cat>
            <numRef>
              <f>'_ChartData'!$A$12:$A$27</f>
            </numRef>
          </cat>
          <val>
            <numRef>
              <f>'_ChartData'!$B$12:$B$27</f>
            </numRef>
          </val>
        </ser>
        <dLbls>
          <showVal val="1"/>
          <showCatName val="0"/>
          <showSerName val="1"/>
          <showPercent val="0"/>
        </dLbls>
        <gapWidth val="150"/>
        <axId val="10"/>
        <axId val="100"/>
      </barChart>
      <lineChart>
        <grouping val="standard"/>
        <ser>
          <idx val="1"/>
          <order val="1"/>
          <tx>
            <strRef>
              <f>'_ChartData'!C11</f>
            </strRef>
          </tx>
          <spPr>
            <a:ln xmlns:a="http://schemas.openxmlformats.org/drawingml/2006/main">
              <a:prstDash val="solid"/>
            </a:ln>
          </spPr>
          <marker>
            <symbol val="none"/>
            <spPr>
              <a:ln xmlns:a="http://schemas.openxmlformats.org/drawingml/2006/main">
                <a:prstDash val="solid"/>
              </a:ln>
            </spPr>
          </marker>
          <val>
            <numRef>
              <f>'_ChartData'!$C$12:$C$27</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valAx>
        <axId val="200"/>
        <scaling>
          <orientation val="minMax"/>
        </scaling>
        <axPos val="l"/>
        <majorGridlines/>
        <title>
          <tx>
            <rich>
              <a:bodyPr xmlns:a="http://schemas.openxmlformats.org/drawingml/2006/main"/>
              <a:p xmlns:a="http://schemas.openxmlformats.org/drawingml/2006/main">
                <a:pPr>
                  <a:defRPr/>
                </a:pPr>
                <a:r>
                  <a:t>Rate %</a:t>
                </a:r>
              </a:p>
            </rich>
          </tx>
        </title>
        <majorTickMark val="none"/>
        <minorTickMark val="none"/>
        <crossAx val="10"/>
      </valAx>
    </plotArea>
    <legend>
      <legendPos val="b"/>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Incidents by Priority</a:t>
            </a:r>
          </a:p>
        </rich>
      </tx>
      <overlay val="1"/>
    </title>
    <plotArea>
      <pieChart>
        <varyColors val="1"/>
        <ser>
          <idx val="0"/>
          <order val="0"/>
          <tx>
            <strRef>
              <f>'_ChartData'!B29</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cat>
            <numRef>
              <f>'_ChartData'!$A$30:$A$33</f>
            </numRef>
          </cat>
          <val>
            <numRef>
              <f>'_ChartData'!$B$30:$B$33</f>
            </numRef>
          </val>
        </ser>
        <dLbls>
          <showVal val="0"/>
          <showCatName val="1"/>
          <showSerName val="1"/>
          <showPercent val="1"/>
        </dLbls>
        <firstSliceAng val="0"/>
      </pieChart>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Top 10 Incident Categories</a:t>
            </a:r>
          </a:p>
        </rich>
      </tx>
      <overlay val="1"/>
    </title>
    <plotArea>
      <barChart>
        <barDir val="bar"/>
        <grouping val="clustered"/>
        <ser>
          <idx val="0"/>
          <order val="0"/>
          <tx>
            <strRef>
              <f>'_ChartData'!B35</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dPt>
            <idx val="4"/>
            <spPr>
              <a:solidFill xmlns:a="http://schemas.openxmlformats.org/drawingml/2006/main">
                <a:srgbClr val="8b5cf6"/>
              </a:solidFill>
              <a:ln xmlns:a="http://schemas.openxmlformats.org/drawingml/2006/main">
                <a:prstDash val="solid"/>
              </a:ln>
            </spPr>
          </dPt>
          <dPt>
            <idx val="5"/>
            <spPr>
              <a:solidFill xmlns:a="http://schemas.openxmlformats.org/drawingml/2006/main">
                <a:srgbClr val="06b6d4"/>
              </a:solidFill>
              <a:ln xmlns:a="http://schemas.openxmlformats.org/drawingml/2006/main">
                <a:prstDash val="solid"/>
              </a:ln>
            </spPr>
          </dPt>
          <dPt>
            <idx val="6"/>
            <spPr>
              <a:solidFill xmlns:a="http://schemas.openxmlformats.org/drawingml/2006/main">
                <a:srgbClr val="f97316"/>
              </a:solidFill>
              <a:ln xmlns:a="http://schemas.openxmlformats.org/drawingml/2006/main">
                <a:prstDash val="solid"/>
              </a:ln>
            </spPr>
          </dPt>
          <dPt>
            <idx val="7"/>
            <spPr>
              <a:solidFill xmlns:a="http://schemas.openxmlformats.org/drawingml/2006/main">
                <a:srgbClr val="ec4899"/>
              </a:solidFill>
              <a:ln xmlns:a="http://schemas.openxmlformats.org/drawingml/2006/main">
                <a:prstDash val="solid"/>
              </a:ln>
            </spPr>
          </dPt>
          <dPt>
            <idx val="8"/>
            <spPr>
              <a:solidFill xmlns:a="http://schemas.openxmlformats.org/drawingml/2006/main">
                <a:srgbClr val="14b8a6"/>
              </a:solidFill>
              <a:ln xmlns:a="http://schemas.openxmlformats.org/drawingml/2006/main">
                <a:prstDash val="solid"/>
              </a:ln>
            </spPr>
          </dPt>
          <dPt>
            <idx val="9"/>
            <spPr>
              <a:solidFill xmlns:a="http://schemas.openxmlformats.org/drawingml/2006/main">
                <a:srgbClr val="a855f7"/>
              </a:solidFill>
              <a:ln xmlns:a="http://schemas.openxmlformats.org/drawingml/2006/main">
                <a:prstDash val="solid"/>
              </a:ln>
            </spPr>
          </dPt>
          <cat>
            <numRef>
              <f>'_ChartData'!$A$36:$A$45</f>
            </numRef>
          </cat>
          <val>
            <numRef>
              <f>'_ChartData'!$B$36:$B$45</f>
            </numRef>
          </val>
        </ser>
        <dLbls>
          <showVal val="1"/>
          <showCatName val="0"/>
          <showSerName val="1"/>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Category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Resolution SLA: 64.2%</a:t>
            </a:r>
          </a:p>
        </rich>
      </tx>
      <overlay val="1"/>
    </title>
    <plotArea>
      <doughnutChart>
        <varyColors val="1"/>
        <ser>
          <idx val="0"/>
          <order val="0"/>
          <tx>
            <strRef>
              <f>'_ChartData'!B47</f>
            </strRef>
          </tx>
          <spPr>
            <a:ln xmlns:a="http://schemas.openxmlformats.org/drawingml/2006/main">
              <a:prstDash val="solid"/>
            </a:ln>
          </spPr>
          <dPt>
            <idx val="0"/>
            <spPr>
              <a:solidFill xmlns:a="http://schemas.openxmlformats.org/drawingml/2006/main">
                <a:srgbClr val="ef4444"/>
              </a:solidFill>
              <a:ln xmlns:a="http://schemas.openxmlformats.org/drawingml/2006/main">
                <a:prstDash val="solid"/>
              </a:ln>
            </spPr>
          </dPt>
          <dPt>
            <idx val="1"/>
            <spPr>
              <a:solidFill xmlns:a="http://schemas.openxmlformats.org/drawingml/2006/main">
                <a:srgbClr val="e2e8f0"/>
              </a:solidFill>
              <a:ln xmlns:a="http://schemas.openxmlformats.org/drawingml/2006/main">
                <a:prstDash val="solid"/>
              </a:ln>
            </spPr>
          </dPt>
          <cat>
            <numRef>
              <f>'_ChartData'!$A$48:$A$49</f>
            </numRef>
          </cat>
          <val>
            <numRef>
              <f>'_ChartData'!$B$48:$B$49</f>
            </numRef>
          </val>
        </ser>
        <dLbls>
          <showVal val="1"/>
          <showCatName val="0"/>
          <showSerName val="0"/>
          <showPercent val="0"/>
        </dLbls>
        <firstSliceAng val="0"/>
        <holeSize val="10"/>
      </doughnutChart>
    </plotArea>
    <legend>
      <legendPos val="b"/>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Response SLA: 99.2%</a:t>
            </a:r>
          </a:p>
        </rich>
      </tx>
      <overlay val="1"/>
    </title>
    <plotArea>
      <doughnutChart>
        <varyColors val="1"/>
        <ser>
          <idx val="0"/>
          <order val="0"/>
          <tx>
            <strRef>
              <f>'_ChartData'!B51</f>
            </strRef>
          </tx>
          <spPr>
            <a:ln xmlns:a="http://schemas.openxmlformats.org/drawingml/2006/main">
              <a:prstDash val="solid"/>
            </a:ln>
          </spPr>
          <dPt>
            <idx val="0"/>
            <spPr>
              <a:solidFill xmlns:a="http://schemas.openxmlformats.org/drawingml/2006/main">
                <a:srgbClr val="22c55e"/>
              </a:solidFill>
              <a:ln xmlns:a="http://schemas.openxmlformats.org/drawingml/2006/main">
                <a:prstDash val="solid"/>
              </a:ln>
            </spPr>
          </dPt>
          <dPt>
            <idx val="1"/>
            <spPr>
              <a:solidFill xmlns:a="http://schemas.openxmlformats.org/drawingml/2006/main">
                <a:srgbClr val="e2e8f0"/>
              </a:solidFill>
              <a:ln xmlns:a="http://schemas.openxmlformats.org/drawingml/2006/main">
                <a:prstDash val="solid"/>
              </a:ln>
            </spPr>
          </dPt>
          <cat>
            <numRef>
              <f>'_ChartData'!$A$52:$A$53</f>
            </numRef>
          </cat>
          <val>
            <numRef>
              <f>'_ChartData'!$B$52:$B$53</f>
            </numRef>
          </val>
        </ser>
        <dLbls>
          <showVal val="1"/>
          <showCatName val="0"/>
          <showSerName val="0"/>
          <showPercent val="0"/>
        </dLbls>
        <firstSliceAng val="0"/>
        <holeSize val="10"/>
      </doughnutChart>
    </plotArea>
    <legend>
      <legendPos val="b"/>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Monthly SLA Trend</a:t>
            </a:r>
          </a:p>
        </rich>
      </tx>
      <overlay val="1"/>
    </title>
    <plotArea>
      <lineChart>
        <grouping val="standard"/>
        <ser>
          <idx val="0"/>
          <order val="0"/>
          <tx>
            <strRef>
              <f>'_ChartData'!B55</f>
            </strRef>
          </tx>
          <spPr>
            <a:ln xmlns:a="http://schemas.openxmlformats.org/drawingml/2006/main">
              <a:prstDash val="solid"/>
            </a:ln>
          </spPr>
          <marker>
            <symbol val="none"/>
            <spPr>
              <a:ln xmlns:a="http://schemas.openxmlformats.org/drawingml/2006/main">
                <a:prstDash val="solid"/>
              </a:ln>
            </spPr>
          </marker>
          <cat>
            <numRef>
              <f>'_ChartData'!$A$56:$A$71</f>
            </numRef>
          </cat>
          <val>
            <numRef>
              <f>'_ChartData'!$B$56:$B$71</f>
            </numRef>
          </val>
        </ser>
        <ser>
          <idx val="1"/>
          <order val="1"/>
          <tx>
            <strRef>
              <f>'_ChartData'!C55</f>
            </strRef>
          </tx>
          <spPr>
            <a:ln xmlns:a="http://schemas.openxmlformats.org/drawingml/2006/main">
              <a:prstDash val="dash"/>
            </a:ln>
          </spPr>
          <marker>
            <symbol val="none"/>
            <spPr>
              <a:ln xmlns:a="http://schemas.openxmlformats.org/drawingml/2006/main">
                <a:prstDash val="solid"/>
              </a:ln>
            </spPr>
          </marker>
          <cat>
            <numRef>
              <f>'_ChartData'!$A$56:$A$71</f>
            </numRef>
          </cat>
          <val>
            <numRef>
              <f>'_ChartData'!$C$56:$C$71</f>
            </numRef>
          </val>
        </ser>
        <dLbls>
          <showVal val="0"/>
          <showSerName val="0"/>
        </dLbls>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Changes by Type</a:t>
            </a:r>
          </a:p>
        </rich>
      </tx>
      <overlay val="1"/>
    </title>
    <plotArea>
      <pieChart>
        <varyColors val="1"/>
        <ser>
          <idx val="0"/>
          <order val="0"/>
          <tx>
            <strRef>
              <f>'_ChartData'!B73</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cat>
            <numRef>
              <f>'_ChartData'!$A$74:$A$76</f>
            </numRef>
          </cat>
          <val>
            <numRef>
              <f>'_ChartData'!$B$74:$B$76</f>
            </numRef>
          </val>
        </ser>
        <dLbls>
          <showVal val="0"/>
          <showCatName val="1"/>
          <showSerName val="1"/>
          <showPercent val="1"/>
        </dLbls>
        <firstSliceAng val="0"/>
      </pieChart>
    </plotArea>
    <legend>
      <legendPos val="b"/>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Change Success Rate Trend</a:t>
            </a:r>
          </a:p>
        </rich>
      </tx>
      <overlay val="1"/>
    </title>
    <plotArea>
      <lineChart>
        <grouping val="standard"/>
        <ser>
          <idx val="0"/>
          <order val="0"/>
          <tx>
            <strRef>
              <f>'_ChartData'!B78</f>
            </strRef>
          </tx>
          <spPr>
            <a:ln xmlns:a="http://schemas.openxmlformats.org/drawingml/2006/main">
              <a:prstDash val="solid"/>
            </a:ln>
          </spPr>
          <marker>
            <symbol val="none"/>
            <spPr>
              <a:ln xmlns:a="http://schemas.openxmlformats.org/drawingml/2006/main">
                <a:prstDash val="solid"/>
              </a:ln>
            </spPr>
          </marker>
          <cat>
            <numRef>
              <f>'_ChartData'!$A$79:$A$94</f>
            </numRef>
          </cat>
          <val>
            <numRef>
              <f>'_ChartData'!$B$79:$B$94</f>
            </numRef>
          </val>
        </ser>
        <ser>
          <idx val="1"/>
          <order val="1"/>
          <tx>
            <strRef>
              <f>'_ChartData'!C78</f>
            </strRef>
          </tx>
          <spPr>
            <a:ln xmlns:a="http://schemas.openxmlformats.org/drawingml/2006/main">
              <a:prstDash val="dash"/>
            </a:ln>
          </spPr>
          <marker>
            <symbol val="none"/>
            <spPr>
              <a:ln xmlns:a="http://schemas.openxmlformats.org/drawingml/2006/main">
                <a:prstDash val="solid"/>
              </a:ln>
            </spPr>
          </marker>
          <cat>
            <numRef>
              <f>'_ChartData'!$A$79:$A$94</f>
            </numRef>
          </cat>
          <val>
            <numRef>
              <f>'_ChartData'!$C$79:$C$94</f>
            </numRef>
          </val>
        </ser>
        <dLbls>
          <showVal val="1"/>
          <showSerName val="0"/>
        </dLbls>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delete val="1"/>
        <axPos val="l"/>
        <majorGridlines/>
        <title>
          <tx>
            <rich>
              <a:bodyPr xmlns:a="http://schemas.openxmlformats.org/drawingml/2006/main"/>
              <a:p xmlns:a="http://schemas.openxmlformats.org/drawingml/2006/main">
                <a:pPr>
                  <a:defRPr/>
                </a:pPr>
                <a:r>
                  <a:t>Rate %</a:t>
                </a:r>
              </a:p>
            </rich>
          </tx>
        </title>
        <majorTickMark val="none"/>
        <minorTickMark val="none"/>
        <crossAx val="10"/>
      </valAx>
    </plotArea>
    <legend>
      <legendPos val="b"/>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Changes by Category</a:t>
            </a:r>
          </a:p>
        </rich>
      </tx>
      <overlay val="1"/>
    </title>
    <plotArea>
      <barChart>
        <barDir val="col"/>
        <grouping val="clustered"/>
        <ser>
          <idx val="0"/>
          <order val="0"/>
          <tx>
            <strRef>
              <f>'_ChartData'!B96</f>
            </strRef>
          </tx>
          <spPr>
            <a:ln xmlns:a="http://schemas.openxmlformats.org/drawingml/2006/main">
              <a:prstDash val="solid"/>
            </a:ln>
          </spPr>
          <cat>
            <numRef>
              <f>'_ChartData'!$A$97:$A$101</f>
            </numRef>
          </cat>
          <val>
            <numRef>
              <f>'_ChartData'!$B$97:$B$101</f>
            </numRef>
          </val>
        </ser>
        <ser>
          <idx val="1"/>
          <order val="1"/>
          <tx>
            <strRef>
              <f>'_ChartData'!C96</f>
            </strRef>
          </tx>
          <spPr>
            <a:ln xmlns:a="http://schemas.openxmlformats.org/drawingml/2006/main">
              <a:prstDash val="solid"/>
            </a:ln>
          </spPr>
          <cat>
            <numRef>
              <f>'_ChartData'!$A$97:$A$101</f>
            </numRef>
          </cat>
          <val>
            <numRef>
              <f>'_ChartData'!$C$97:$C$101</f>
            </numRef>
          </val>
        </ser>
        <dLbls>
          <showVal val="1"/>
          <showCatName val="0"/>
          <showSerName val="1"/>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Category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b"/>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Requests by Type</a:t>
            </a:r>
          </a:p>
        </rich>
      </tx>
      <overlay val="1"/>
    </title>
    <plotArea>
      <pieChart>
        <varyColors val="1"/>
        <ser>
          <idx val="0"/>
          <order val="0"/>
          <tx>
            <strRef>
              <f>'_ChartData'!B103</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cat>
            <numRef>
              <f>'_ChartData'!$A$104:$A$107</f>
            </numRef>
          </cat>
          <val>
            <numRef>
              <f>'_ChartData'!$B$104:$B$107</f>
            </numRef>
          </val>
        </ser>
        <dLbls>
          <showVal val="0"/>
          <showCatName val="1"/>
          <showSerName val="1"/>
          <showPercent val="1"/>
        </dLbls>
        <firstSliceAng val="0"/>
      </pieChart>
    </plotArea>
    <legend>
      <legendPos val="b"/>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CSAT Distribution</a:t>
            </a:r>
          </a:p>
        </rich>
      </tx>
      <overlay val="1"/>
    </title>
    <plotArea>
      <barChart>
        <barDir val="col"/>
        <grouping val="clustered"/>
        <ser>
          <idx val="0"/>
          <order val="0"/>
          <tx>
            <strRef>
              <f>'_ChartData'!B109</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ab308"/>
              </a:solidFill>
              <a:ln xmlns:a="http://schemas.openxmlformats.org/drawingml/2006/main">
                <a:prstDash val="solid"/>
              </a:ln>
            </spPr>
          </dPt>
          <dPt>
            <idx val="4"/>
            <spPr>
              <a:solidFill xmlns:a="http://schemas.openxmlformats.org/drawingml/2006/main">
                <a:srgbClr val="ef4444"/>
              </a:solidFill>
              <a:ln xmlns:a="http://schemas.openxmlformats.org/drawingml/2006/main">
                <a:prstDash val="solid"/>
              </a:ln>
            </spPr>
          </dPt>
          <cat>
            <numRef>
              <f>'_ChartData'!$A$110:$A$114</f>
            </numRef>
          </cat>
          <val>
            <numRef>
              <f>'_ChartData'!$B$110:$B$114</f>
            </numRef>
          </val>
        </ser>
        <dLbls>
          <showVal val="1"/>
          <showCatName val="0"/>
          <showSerName val="1"/>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Rating</a:t>
                </a:r>
              </a:p>
            </rich>
          </tx>
        </title>
        <majorTickMark val="none"/>
        <minorTickMark val="none"/>
        <crossAx val="100"/>
        <lblOffset val="100"/>
      </catAx>
      <valAx>
        <axId val="100"/>
        <scaling>
          <orientation val="minMax"/>
        </scaling>
        <delete val="1"/>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Monthly Request Trend</a:t>
            </a:r>
          </a:p>
        </rich>
      </tx>
      <overlay val="1"/>
    </title>
    <plotArea>
      <barChart>
        <barDir val="col"/>
        <grouping val="clustered"/>
        <ser>
          <idx val="0"/>
          <order val="0"/>
          <tx>
            <strRef>
              <f>'_ChartData'!B116</f>
            </strRef>
          </tx>
          <spPr>
            <a:solidFill xmlns:a="http://schemas.openxmlformats.org/drawingml/2006/main">
              <a:srgbClr val="3b82f6"/>
            </a:solidFill>
            <a:ln xmlns:a="http://schemas.openxmlformats.org/drawingml/2006/main">
              <a:prstDash val="solid"/>
            </a:ln>
          </spPr>
          <cat>
            <numRef>
              <f>'_ChartData'!$A$117:$A$132</f>
            </numRef>
          </cat>
          <val>
            <numRef>
              <f>'_ChartData'!$B$117:$B$132</f>
            </numRef>
          </val>
        </ser>
        <dLbls>
          <showVal val="1"/>
          <showCatName val="0"/>
          <showSerName val="1"/>
          <showPercent val="0"/>
        </dLbls>
        <gapWidth val="150"/>
        <axId val="10"/>
        <axId val="100"/>
      </barChart>
      <lineChart>
        <grouping val="standard"/>
        <ser>
          <idx val="1"/>
          <order val="1"/>
          <tx>
            <strRef>
              <f>'_ChartData'!C116</f>
            </strRef>
          </tx>
          <spPr>
            <a:ln xmlns:a="http://schemas.openxmlformats.org/drawingml/2006/main">
              <a:solidFill>
                <a:srgbClr val="22c55e"/>
              </a:solidFill>
              <a:prstDash val="solid"/>
            </a:ln>
          </spPr>
          <marker>
            <symbol val="none"/>
            <spPr>
              <a:ln xmlns:a="http://schemas.openxmlformats.org/drawingml/2006/main">
                <a:prstDash val="solid"/>
              </a:ln>
            </spPr>
          </marker>
          <val>
            <numRef>
              <f>'_ChartData'!$C$117:$C$132</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Volume</a:t>
                </a:r>
              </a:p>
            </rich>
          </tx>
        </title>
        <majorTickMark val="none"/>
        <minorTickMark val="none"/>
        <crossAx val="10"/>
      </valAx>
      <valAx>
        <axId val="200"/>
        <scaling>
          <orientation val="minMax"/>
        </scaling>
        <axPos val="l"/>
        <majorGridlines/>
        <title>
          <tx>
            <rich>
              <a:bodyPr xmlns:a="http://schemas.openxmlformats.org/drawingml/2006/main"/>
              <a:p xmlns:a="http://schemas.openxmlformats.org/drawingml/2006/main">
                <a:pPr>
                  <a:defRPr/>
                </a:pPr>
                <a:r>
                  <a:t>CSAT</a:t>
                </a:r>
              </a:p>
            </rich>
          </tx>
        </title>
        <majorTickMark val="none"/>
        <minorTickMark val="none"/>
        <crossAx val="10"/>
      </valAx>
    </plotArea>
    <legend>
      <legendPos val="b"/>
    </legend>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Fulfillment Time by Type (hours)</a:t>
            </a:r>
          </a:p>
        </rich>
      </tx>
      <overlay val="1"/>
    </title>
    <plotArea>
      <barChart>
        <barDir val="col"/>
        <grouping val="clustered"/>
        <ser>
          <idx val="0"/>
          <order val="0"/>
          <tx>
            <strRef>
              <f>'_ChartData'!B134</f>
            </strRef>
          </tx>
          <spPr>
            <a:ln xmlns:a="http://schemas.openxmlformats.org/drawingml/2006/main">
              <a:prstDash val="solid"/>
            </a:ln>
          </spPr>
          <cat>
            <numRef>
              <f>'_ChartData'!$A$135:$A$138</f>
            </numRef>
          </cat>
          <val>
            <numRef>
              <f>'_ChartData'!$B$135:$B$138</f>
            </numRef>
          </val>
        </ser>
        <ser>
          <idx val="1"/>
          <order val="1"/>
          <tx>
            <strRef>
              <f>'_ChartData'!C134</f>
            </strRef>
          </tx>
          <spPr>
            <a:ln xmlns:a="http://schemas.openxmlformats.org/drawingml/2006/main">
              <a:prstDash val="solid"/>
            </a:ln>
          </spPr>
          <cat>
            <numRef>
              <f>'_ChartData'!$A$135:$A$138</f>
            </numRef>
          </cat>
          <val>
            <numRef>
              <f>'_ChartData'!$C$135:$C$138</f>
            </numRef>
          </val>
        </ser>
        <ser>
          <idx val="2"/>
          <order val="2"/>
          <tx>
            <strRef>
              <f>'_ChartData'!D134</f>
            </strRef>
          </tx>
          <spPr>
            <a:ln xmlns:a="http://schemas.openxmlformats.org/drawingml/2006/main">
              <a:prstDash val="solid"/>
            </a:ln>
          </spPr>
          <cat>
            <numRef>
              <f>'_ChartData'!$A$135:$A$138</f>
            </numRef>
          </cat>
          <val>
            <numRef>
              <f>'_ChartData'!$D$135:$D$138</f>
            </numRef>
          </val>
        </ser>
        <dLbls>
          <showVal val="1"/>
          <showCatName val="0"/>
          <showSerName val="1"/>
          <showPercent val="0"/>
        </dLbls>
        <gapWidth val="150"/>
        <axId val="10"/>
        <axId val="100"/>
      </barChart>
      <catAx>
        <axId val="10"/>
        <scaling>
          <orientation val="minMax"/>
        </scaling>
        <axPos val="l"/>
        <majorTickMark val="none"/>
        <minorTickMark val="none"/>
        <crossAx val="100"/>
        <lblOffset val="100"/>
      </catAx>
      <valAx>
        <axId val="100"/>
        <scaling>
          <orientation val="minMax"/>
        </scaling>
        <delete val="1"/>
        <axPos val="l"/>
        <majorGridlines/>
        <majorTickMark val="none"/>
        <minorTickMark val="none"/>
        <crossAx val="10"/>
      </valAx>
    </plotArea>
    <legend>
      <legendPos val="t"/>
    </legend>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Problem Status Funnel</a:t>
            </a:r>
          </a:p>
        </rich>
      </tx>
      <overlay val="1"/>
    </title>
    <plotArea>
      <barChart>
        <barDir val="bar"/>
        <grouping val="clustered"/>
        <ser>
          <idx val="0"/>
          <order val="0"/>
          <tx>
            <strRef>
              <f>'_ChartData'!B140</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dPt>
            <idx val="4"/>
            <spPr>
              <a:solidFill xmlns:a="http://schemas.openxmlformats.org/drawingml/2006/main">
                <a:srgbClr val="8b5cf6"/>
              </a:solidFill>
              <a:ln xmlns:a="http://schemas.openxmlformats.org/drawingml/2006/main">
                <a:prstDash val="solid"/>
              </a:ln>
            </spPr>
          </dPt>
          <cat>
            <numRef>
              <f>'_ChartData'!$A$141:$A$145</f>
            </numRef>
          </cat>
          <val>
            <numRef>
              <f>'_ChartData'!$B$141:$B$145</f>
            </numRef>
          </val>
        </ser>
        <dLbls>
          <showVal val="1"/>
          <showCatName val="0"/>
          <showSerName val="1"/>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Status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plotVisOnly val="1"/>
    <dispBlanksAs val="gap"/>
  </chart>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a:pPr>
            <a:r>
              <a:t>Root Cause Distribution</a:t>
            </a:r>
          </a:p>
        </rich>
      </tx>
      <overlay val="1"/>
    </title>
    <plotArea>
      <pieChart>
        <varyColors val="1"/>
        <ser>
          <idx val="0"/>
          <order val="0"/>
          <tx>
            <strRef>
              <f>'_ChartData'!B147</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dPt>
            <idx val="4"/>
            <spPr>
              <a:solidFill xmlns:a="http://schemas.openxmlformats.org/drawingml/2006/main">
                <a:srgbClr val="8b5cf6"/>
              </a:solidFill>
              <a:ln xmlns:a="http://schemas.openxmlformats.org/drawingml/2006/main">
                <a:prstDash val="solid"/>
              </a:ln>
            </spPr>
          </dPt>
          <cat>
            <numRef>
              <f>'_ChartData'!$A$148:$A$152</f>
            </numRef>
          </cat>
          <val>
            <numRef>
              <f>'_ChartData'!$B$148:$B$152</f>
            </numRef>
          </val>
        </ser>
        <dLbls>
          <showVal val="0"/>
          <showCatName val="1"/>
          <showSerName val="1"/>
          <showPercent val="1"/>
        </dLbls>
        <firstSliceAng val="0"/>
      </pieChart>
    </plotArea>
    <legend>
      <legendPos val="b"/>
    </legend>
    <plotVisOnly val="1"/>
    <dispBlanksAs val="gap"/>
  </chart>
</chartSpace>
</file>

<file path=xl/charts/chart18.xml><?xml version="1.0" encoding="utf-8"?>
<chartSpace xmlns="http://schemas.openxmlformats.org/drawingml/2006/chart">
  <chart>
    <title>
      <tx>
        <rich>
          <a:bodyPr xmlns:a="http://schemas.openxmlformats.org/drawingml/2006/main"/>
          <a:p xmlns:a="http://schemas.openxmlformats.org/drawingml/2006/main">
            <a:pPr>
              <a:defRPr/>
            </a:pPr>
            <a:r>
              <a:t>Monthly Problem Trend</a:t>
            </a:r>
          </a:p>
        </rich>
      </tx>
      <overlay val="1"/>
    </title>
    <plotArea>
      <barChart>
        <barDir val="col"/>
        <grouping val="clustered"/>
        <ser>
          <idx val="0"/>
          <order val="0"/>
          <tx>
            <strRef>
              <f>'_ChartData'!B154</f>
            </strRef>
          </tx>
          <spPr>
            <a:solidFill xmlns:a="http://schemas.openxmlformats.org/drawingml/2006/main">
              <a:srgbClr val="3b82f6"/>
            </a:solidFill>
            <a:ln xmlns:a="http://schemas.openxmlformats.org/drawingml/2006/main">
              <a:prstDash val="solid"/>
            </a:ln>
          </spPr>
          <cat>
            <numRef>
              <f>'_ChartData'!$A$155:$A$170</f>
            </numRef>
          </cat>
          <val>
            <numRef>
              <f>'_ChartData'!$B$155:$B$170</f>
            </numRef>
          </val>
        </ser>
        <dLbls>
          <showVal val="1"/>
          <showCatName val="0"/>
          <showSerName val="1"/>
          <showPercent val="0"/>
        </dLbls>
        <gapWidth val="150"/>
        <axId val="10"/>
        <axId val="100"/>
      </barChart>
      <lineChart>
        <grouping val="standard"/>
        <ser>
          <idx val="1"/>
          <order val="1"/>
          <tx>
            <strRef>
              <f>'_ChartData'!C154</f>
            </strRef>
          </tx>
          <spPr>
            <a:ln xmlns:a="http://schemas.openxmlformats.org/drawingml/2006/main">
              <a:solidFill>
                <a:srgbClr val="ef4444"/>
              </a:solidFill>
              <a:prstDash val="solid"/>
            </a:ln>
          </spPr>
          <marker>
            <symbol val="none"/>
            <spPr>
              <a:ln xmlns:a="http://schemas.openxmlformats.org/drawingml/2006/main">
                <a:prstDash val="solid"/>
              </a:ln>
            </spPr>
          </marker>
          <val>
            <numRef>
              <f>'_ChartData'!$C$155:$C$170</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valAx>
        <axId val="200"/>
        <scaling>
          <orientation val="minMax"/>
        </scaling>
        <axPos val="l"/>
        <majorGridlines/>
        <title>
          <tx>
            <rich>
              <a:bodyPr xmlns:a="http://schemas.openxmlformats.org/drawingml/2006/main"/>
              <a:p xmlns:a="http://schemas.openxmlformats.org/drawingml/2006/main">
                <a:pPr>
                  <a:defRPr/>
                </a:pPr>
                <a:r>
                  <a:t>Cumulative</a:t>
                </a:r>
              </a:p>
            </rich>
          </tx>
        </title>
        <majorTickMark val="none"/>
        <minorTickMark val="none"/>
        <crossAx val="10"/>
      </valAx>
    </plotArea>
    <legend>
      <legendPos val="b"/>
    </legend>
    <plotVisOnly val="1"/>
    <dispBlanksAs val="gap"/>
  </chart>
</chartSpace>
</file>

<file path=xl/charts/chart19.xml><?xml version="1.0" encoding="utf-8"?>
<chartSpace xmlns="http://schemas.openxmlformats.org/drawingml/2006/chart">
  <chart>
    <title>
      <tx>
        <rich>
          <a:bodyPr xmlns:a="http://schemas.openxmlformats.org/drawingml/2006/main"/>
          <a:p xmlns:a="http://schemas.openxmlformats.org/drawingml/2006/main">
            <a:pPr>
              <a:defRPr/>
            </a:pPr>
            <a:r>
              <a:t>Cross-Process Flow</a:t>
            </a:r>
          </a:p>
        </rich>
      </tx>
      <overlay val="1"/>
    </title>
    <plotArea>
      <barChart>
        <barDir val="col"/>
        <grouping val="clustered"/>
        <ser>
          <idx val="0"/>
          <order val="0"/>
          <tx>
            <strRef>
              <f>'_ChartData'!B172</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cat>
            <numRef>
              <f>'_ChartData'!$A$173</f>
            </numRef>
          </cat>
          <val>
            <numRef>
              <f>'_ChartData'!$B$173</f>
            </numRef>
          </val>
        </ser>
        <dLbls>
          <showVal val="1"/>
          <showCatName val="0"/>
          <showSerName val="1"/>
          <showPercent val="0"/>
        </dLbls>
        <gapWidth val="150"/>
        <axId val="10"/>
        <axId val="100"/>
      </barChart>
      <catAx>
        <axId val="10"/>
        <scaling>
          <orientation val="minMax"/>
        </scaling>
        <axPos val="l"/>
        <majorTickMark val="none"/>
        <minorTickMark val="none"/>
        <crossAx val="100"/>
        <lblOffset val="100"/>
      </catAx>
      <valAx>
        <axId val="100"/>
        <scaling>
          <orientation val="minMax"/>
        </scaling>
        <delete val="1"/>
        <axPos val="l"/>
        <majorGridlines/>
        <majorTickMark val="none"/>
        <minorTickMark val="none"/>
        <crossAx val="10"/>
      </valAx>
    </plotArea>
    <legend>
      <legendPos val="t"/>
    </legend>
    <plotVisOnly val="1"/>
    <dispBlanksAs val="gap"/>
  </chart>
</chartSpace>
</file>

<file path=xl/charts/chart20.xml><?xml version="1.0" encoding="utf-8"?>
<chartSpace xmlns="http://schemas.openxmlformats.org/drawingml/2006/chart">
  <chart>
    <title>
      <tx>
        <rich>
          <a:bodyPr xmlns:a="http://schemas.openxmlformats.org/drawingml/2006/main"/>
          <a:p xmlns:a="http://schemas.openxmlformats.org/drawingml/2006/main">
            <a:pPr>
              <a:defRPr/>
            </a:pPr>
            <a:r>
              <a:t>Top 10 Personnel</a:t>
            </a:r>
          </a:p>
        </rich>
      </tx>
      <overlay val="1"/>
    </title>
    <plotArea>
      <barChart>
        <barDir val="bar"/>
        <grouping val="clustered"/>
        <ser>
          <idx val="0"/>
          <order val="0"/>
          <tx>
            <strRef>
              <f>'_ChartData'!B175</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dPt>
            <idx val="4"/>
            <spPr>
              <a:solidFill xmlns:a="http://schemas.openxmlformats.org/drawingml/2006/main">
                <a:srgbClr val="8b5cf6"/>
              </a:solidFill>
              <a:ln xmlns:a="http://schemas.openxmlformats.org/drawingml/2006/main">
                <a:prstDash val="solid"/>
              </a:ln>
            </spPr>
          </dPt>
          <dPt>
            <idx val="5"/>
            <spPr>
              <a:solidFill xmlns:a="http://schemas.openxmlformats.org/drawingml/2006/main">
                <a:srgbClr val="06b6d4"/>
              </a:solidFill>
              <a:ln xmlns:a="http://schemas.openxmlformats.org/drawingml/2006/main">
                <a:prstDash val="solid"/>
              </a:ln>
            </spPr>
          </dPt>
          <dPt>
            <idx val="6"/>
            <spPr>
              <a:solidFill xmlns:a="http://schemas.openxmlformats.org/drawingml/2006/main">
                <a:srgbClr val="f97316"/>
              </a:solidFill>
              <a:ln xmlns:a="http://schemas.openxmlformats.org/drawingml/2006/main">
                <a:prstDash val="solid"/>
              </a:ln>
            </spPr>
          </dPt>
          <dPt>
            <idx val="7"/>
            <spPr>
              <a:solidFill xmlns:a="http://schemas.openxmlformats.org/drawingml/2006/main">
                <a:srgbClr val="ec4899"/>
              </a:solidFill>
              <a:ln xmlns:a="http://schemas.openxmlformats.org/drawingml/2006/main">
                <a:prstDash val="solid"/>
              </a:ln>
            </spPr>
          </dPt>
          <dPt>
            <idx val="8"/>
            <spPr>
              <a:solidFill xmlns:a="http://schemas.openxmlformats.org/drawingml/2006/main">
                <a:srgbClr val="14b8a6"/>
              </a:solidFill>
              <a:ln xmlns:a="http://schemas.openxmlformats.org/drawingml/2006/main">
                <a:prstDash val="solid"/>
              </a:ln>
            </spPr>
          </dPt>
          <dPt>
            <idx val="9"/>
            <spPr>
              <a:solidFill xmlns:a="http://schemas.openxmlformats.org/drawingml/2006/main">
                <a:srgbClr val="a855f7"/>
              </a:solidFill>
              <a:ln xmlns:a="http://schemas.openxmlformats.org/drawingml/2006/main">
                <a:prstDash val="solid"/>
              </a:ln>
            </spPr>
          </dPt>
          <cat>
            <numRef>
              <f>'_ChartData'!$A$176:$A$185</f>
            </numRef>
          </cat>
          <val>
            <numRef>
              <f>'_ChartData'!$B$176:$B$185</f>
            </numRef>
          </val>
        </ser>
        <dLbls>
          <showVal val="1"/>
          <showCatName val="0"/>
          <showSerName val="1"/>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Person</a:t>
                </a:r>
              </a:p>
            </rich>
          </tx>
        </title>
        <majorTickMark val="none"/>
        <minorTickMark val="none"/>
        <crossAx val="10"/>
      </valAx>
    </plotArea>
    <legend>
      <legendPos val="b"/>
    </legend>
    <plotVisOnly val="1"/>
    <dispBlanksAs val="gap"/>
  </chart>
</chartSpace>
</file>

<file path=xl/charts/chart21.xml><?xml version="1.0" encoding="utf-8"?>
<chartSpace xmlns="http://schemas.openxmlformats.org/drawingml/2006/chart">
  <chart>
    <title>
      <tx>
        <rich>
          <a:bodyPr xmlns:a="http://schemas.openxmlformats.org/drawingml/2006/main"/>
          <a:p xmlns:a="http://schemas.openxmlformats.org/drawingml/2006/main">
            <a:pPr>
              <a:defRPr/>
            </a:pPr>
            <a:r>
              <a:t>Four Process Trend</a:t>
            </a:r>
          </a:p>
        </rich>
      </tx>
      <overlay val="1"/>
    </title>
    <plotArea>
      <lineChart>
        <grouping val="standard"/>
        <ser>
          <idx val="0"/>
          <order val="0"/>
          <tx>
            <strRef>
              <f>'_ChartData'!B187</f>
            </strRef>
          </tx>
          <spPr>
            <a:ln xmlns:a="http://schemas.openxmlformats.org/drawingml/2006/main">
              <a:prstDash val="solid"/>
            </a:ln>
          </spPr>
          <marker>
            <symbol val="none"/>
            <spPr>
              <a:ln xmlns:a="http://schemas.openxmlformats.org/drawingml/2006/main">
                <a:prstDash val="solid"/>
              </a:ln>
            </spPr>
          </marker>
          <cat>
            <numRef>
              <f>'_ChartData'!$A$188:$A$203</f>
            </numRef>
          </cat>
          <val>
            <numRef>
              <f>'_ChartData'!$B$188:$B$203</f>
            </numRef>
          </val>
        </ser>
        <ser>
          <idx val="1"/>
          <order val="1"/>
          <tx>
            <strRef>
              <f>'_ChartData'!C187</f>
            </strRef>
          </tx>
          <spPr>
            <a:ln xmlns:a="http://schemas.openxmlformats.org/drawingml/2006/main">
              <a:prstDash val="solid"/>
            </a:ln>
          </spPr>
          <marker>
            <symbol val="none"/>
            <spPr>
              <a:ln xmlns:a="http://schemas.openxmlformats.org/drawingml/2006/main">
                <a:prstDash val="solid"/>
              </a:ln>
            </spPr>
          </marker>
          <cat>
            <numRef>
              <f>'_ChartData'!$A$188:$A$203</f>
            </numRef>
          </cat>
          <val>
            <numRef>
              <f>'_ChartData'!$C$188:$C$203</f>
            </numRef>
          </val>
        </ser>
        <ser>
          <idx val="2"/>
          <order val="2"/>
          <tx>
            <strRef>
              <f>'_ChartData'!D187</f>
            </strRef>
          </tx>
          <spPr>
            <a:ln xmlns:a="http://schemas.openxmlformats.org/drawingml/2006/main">
              <a:prstDash val="solid"/>
            </a:ln>
          </spPr>
          <marker>
            <symbol val="none"/>
            <spPr>
              <a:ln xmlns:a="http://schemas.openxmlformats.org/drawingml/2006/main">
                <a:prstDash val="solid"/>
              </a:ln>
            </spPr>
          </marker>
          <cat>
            <numRef>
              <f>'_ChartData'!$A$188:$A$203</f>
            </numRef>
          </cat>
          <val>
            <numRef>
              <f>'_ChartData'!$D$188:$D$203</f>
            </numRef>
          </val>
        </ser>
        <ser>
          <idx val="3"/>
          <order val="3"/>
          <tx>
            <strRef>
              <f>'_ChartData'!E187</f>
            </strRef>
          </tx>
          <spPr>
            <a:ln xmlns:a="http://schemas.openxmlformats.org/drawingml/2006/main">
              <a:prstDash val="solid"/>
            </a:ln>
          </spPr>
          <marker>
            <symbol val="none"/>
            <spPr>
              <a:ln xmlns:a="http://schemas.openxmlformats.org/drawingml/2006/main">
                <a:prstDash val="solid"/>
              </a:ln>
            </spPr>
          </marker>
          <cat>
            <numRef>
              <f>'_ChartData'!$A$188:$A$203</f>
            </numRef>
          </cat>
          <val>
            <numRef>
              <f>'_ChartData'!$E$188:$E$203</f>
            </numRef>
          </val>
        </ser>
        <dLbls>
          <showVal val="1"/>
          <showSerName val="0"/>
        </dLbls>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delete val="1"/>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b"/>
    </legend>
    <plotVisOnly val="1"/>
    <dispBlanksAs val="gap"/>
  </chart>
</chartSpace>
</file>

<file path=xl/charts/chart22.xml><?xml version="1.0" encoding="utf-8"?>
<chartSpace xmlns="http://schemas.openxmlformats.org/drawingml/2006/chart">
  <chart>
    <title>
      <tx>
        <rich>
          <a:bodyPr xmlns:a="http://schemas.openxmlformats.org/drawingml/2006/main"/>
          <a:p xmlns:a="http://schemas.openxmlformats.org/drawingml/2006/main">
            <a:pPr>
              <a:defRPr/>
            </a:pPr>
            <a:r>
              <a:t>Incidents by Day of Week</a:t>
            </a:r>
          </a:p>
        </rich>
      </tx>
      <overlay val="1"/>
    </title>
    <plotArea>
      <barChart>
        <barDir val="col"/>
        <grouping val="clustered"/>
        <ser>
          <idx val="0"/>
          <order val="0"/>
          <tx>
            <strRef>
              <f>'_ChartData'!B205</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dPt>
            <idx val="4"/>
            <spPr>
              <a:solidFill xmlns:a="http://schemas.openxmlformats.org/drawingml/2006/main">
                <a:srgbClr val="8b5cf6"/>
              </a:solidFill>
              <a:ln xmlns:a="http://schemas.openxmlformats.org/drawingml/2006/main">
                <a:prstDash val="solid"/>
              </a:ln>
            </spPr>
          </dPt>
          <dPt>
            <idx val="5"/>
            <spPr>
              <a:solidFill xmlns:a="http://schemas.openxmlformats.org/drawingml/2006/main">
                <a:srgbClr val="06b6d4"/>
              </a:solidFill>
              <a:ln xmlns:a="http://schemas.openxmlformats.org/drawingml/2006/main">
                <a:prstDash val="solid"/>
              </a:ln>
            </spPr>
          </dPt>
          <dPt>
            <idx val="6"/>
            <spPr>
              <a:solidFill xmlns:a="http://schemas.openxmlformats.org/drawingml/2006/main">
                <a:srgbClr val="f97316"/>
              </a:solidFill>
              <a:ln xmlns:a="http://schemas.openxmlformats.org/drawingml/2006/main">
                <a:prstDash val="solid"/>
              </a:ln>
            </spPr>
          </dPt>
          <cat>
            <numRef>
              <f>'_ChartData'!$A$206:$A$212</f>
            </numRef>
          </cat>
          <val>
            <numRef>
              <f>'_ChartData'!$B$206:$B$212</f>
            </numRef>
          </val>
        </ser>
        <dLbls>
          <showVal val="1"/>
          <showCatName val="0"/>
          <showSerName val="1"/>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scaling>
        <delete val="1"/>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plotVisOnly val="1"/>
    <dispBlanksAs val="gap"/>
  </chart>
</chartSpace>
</file>

<file path=xl/charts/chart23.xml><?xml version="1.0" encoding="utf-8"?>
<chartSpace xmlns="http://schemas.openxmlformats.org/drawingml/2006/chart">
  <chart>
    <title>
      <tx>
        <rich>
          <a:bodyPr xmlns:a="http://schemas.openxmlformats.org/drawingml/2006/main"/>
          <a:p xmlns:a="http://schemas.openxmlformats.org/drawingml/2006/main">
            <a:pPr>
              <a:defRPr/>
            </a:pPr>
            <a:r>
              <a:t>Actions by Priority</a:t>
            </a:r>
          </a:p>
        </rich>
      </tx>
      <overlay val="1"/>
    </title>
    <plotArea>
      <pieChart>
        <varyColors val="1"/>
        <ser>
          <idx val="0"/>
          <order val="0"/>
          <tx>
            <strRef>
              <f>'_ChartData'!B214</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cat>
            <numRef>
              <f>'_ChartData'!$A$215:$A$217</f>
            </numRef>
          </cat>
          <val>
            <numRef>
              <f>'_ChartData'!$B$215:$B$217</f>
            </numRef>
          </val>
        </ser>
        <dLbls>
          <showVal val="0"/>
          <showCatName val="1"/>
          <showSerName val="1"/>
          <showPercent val="1"/>
        </dLbls>
        <firstSliceAng val="0"/>
      </pieChart>
    </plotArea>
    <legend>
      <legendPos val="b"/>
    </legend>
    <plotVisOnly val="1"/>
    <dispBlanksAs val="gap"/>
  </chart>
</chartSpace>
</file>

<file path=xl/charts/chart24.xml><?xml version="1.0" encoding="utf-8"?>
<chartSpace xmlns="http://schemas.openxmlformats.org/drawingml/2006/chart">
  <chart>
    <title>
      <tx>
        <rich>
          <a:bodyPr xmlns:a="http://schemas.openxmlformats.org/drawingml/2006/main"/>
          <a:p xmlns:a="http://schemas.openxmlformats.org/drawingml/2006/main">
            <a:pPr>
              <a:defRPr/>
            </a:pPr>
            <a:r>
              <a:t>Actions by Process</a:t>
            </a:r>
          </a:p>
        </rich>
      </tx>
      <overlay val="1"/>
    </title>
    <plotArea>
      <barChart>
        <barDir val="col"/>
        <grouping val="clustered"/>
        <ser>
          <idx val="0"/>
          <order val="0"/>
          <tx>
            <strRef>
              <f>'_ChartData'!B219</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cat>
            <numRef>
              <f>'_ChartData'!$A$220:$A$222</f>
            </numRef>
          </cat>
          <val>
            <numRef>
              <f>'_ChartData'!$B$220:$B$222</f>
            </numRef>
          </val>
        </ser>
        <dLbls>
          <showVal val="1"/>
          <showCatName val="0"/>
          <showSerName val="1"/>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Process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_rels/drawing3.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 Type="http://schemas.openxmlformats.org/officeDocument/2006/relationships/chart" Target="/xl/charts/chart8.xml" Id="rId3"/></Relationships>
</file>

<file path=xl/drawings/_rels/drawing4.xml.rels><Relationships xmlns="http://schemas.openxmlformats.org/package/2006/relationships"><Relationship Type="http://schemas.openxmlformats.org/officeDocument/2006/relationships/chart" Target="/xl/charts/chart9.xml" Id="rId1"/><Relationship Type="http://schemas.openxmlformats.org/officeDocument/2006/relationships/chart" Target="/xl/charts/chart10.xml" Id="rId2"/><Relationship Type="http://schemas.openxmlformats.org/officeDocument/2006/relationships/chart" Target="/xl/charts/chart11.xml" Id="rId3"/></Relationships>
</file>

<file path=xl/drawings/_rels/drawing5.xml.rels><Relationships xmlns="http://schemas.openxmlformats.org/package/2006/relationships"><Relationship Type="http://schemas.openxmlformats.org/officeDocument/2006/relationships/chart" Target="/xl/charts/chart12.xml" Id="rId1"/><Relationship Type="http://schemas.openxmlformats.org/officeDocument/2006/relationships/chart" Target="/xl/charts/chart13.xml" Id="rId2"/><Relationship Type="http://schemas.openxmlformats.org/officeDocument/2006/relationships/chart" Target="/xl/charts/chart14.xml" Id="rId3"/><Relationship Type="http://schemas.openxmlformats.org/officeDocument/2006/relationships/chart" Target="/xl/charts/chart15.xml" Id="rId4"/></Relationships>
</file>

<file path=xl/drawings/_rels/drawing6.xml.rels><Relationships xmlns="http://schemas.openxmlformats.org/package/2006/relationships"><Relationship Type="http://schemas.openxmlformats.org/officeDocument/2006/relationships/chart" Target="/xl/charts/chart16.xml" Id="rId1"/><Relationship Type="http://schemas.openxmlformats.org/officeDocument/2006/relationships/chart" Target="/xl/charts/chart17.xml" Id="rId2"/><Relationship Type="http://schemas.openxmlformats.org/officeDocument/2006/relationships/chart" Target="/xl/charts/chart18.xml" Id="rId3"/></Relationships>
</file>

<file path=xl/drawings/_rels/drawing7.xml.rels><Relationships xmlns="http://schemas.openxmlformats.org/package/2006/relationships"><Relationship Type="http://schemas.openxmlformats.org/officeDocument/2006/relationships/chart" Target="/xl/charts/chart19.xml" Id="rId1"/></Relationships>
</file>

<file path=xl/drawings/_rels/drawing8.xml.rels><Relationships xmlns="http://schemas.openxmlformats.org/package/2006/relationships"><Relationship Type="http://schemas.openxmlformats.org/officeDocument/2006/relationships/chart" Target="/xl/charts/chart20.xml" Id="rId1"/></Relationships>
</file>

<file path=xl/drawings/_rels/drawing9.xml.rels><Relationships xmlns="http://schemas.openxmlformats.org/package/2006/relationships"><Relationship Type="http://schemas.openxmlformats.org/officeDocument/2006/relationships/chart" Target="/xl/charts/chart21.xml" Id="rId1"/><Relationship Type="http://schemas.openxmlformats.org/officeDocument/2006/relationships/chart" Target="/xl/charts/chart22.xml" Id="rId2"/></Relationships>
</file>

<file path=xl/drawings/_rels/drawing10.xml.rels><Relationships xmlns="http://schemas.openxmlformats.org/package/2006/relationships"><Relationship Type="http://schemas.openxmlformats.org/officeDocument/2006/relationships/chart" Target="/xl/charts/chart23.xml" Id="rId1"/><Relationship Type="http://schemas.openxmlformats.org/officeDocument/2006/relationships/chart" Target="/xl/charts/chart24.xml" Id="rId2"/></Relationships>
</file>

<file path=xl/drawings/drawing1.xml><?xml version="1.0" encoding="utf-8"?>
<wsDr xmlns="http://schemas.openxmlformats.org/drawingml/2006/spreadsheetDrawing">
  <oneCellAnchor>
    <from>
      <col>0</col>
      <colOff>0</colOff>
      <row>28</row>
      <rowOff>0</rowOff>
    </from>
    <ext cx="32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48</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0</col>
      <colOff>0</colOff>
      <row>35</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62</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89</row>
      <rowOff>0</rowOff>
    </from>
    <ext cx="648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3.xml><?xml version="1.0" encoding="utf-8"?>
<wsDr xmlns="http://schemas.openxmlformats.org/drawingml/2006/spreadsheetDrawing">
  <oneCellAnchor>
    <from>
      <col>0</col>
      <colOff>0</colOff>
      <row>40</row>
      <rowOff>0</rowOff>
    </from>
    <ext cx="32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60</row>
      <rowOff>0</rowOff>
    </from>
    <ext cx="324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80</row>
      <rowOff>0</rowOff>
    </from>
    <ext cx="648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4.xml><?xml version="1.0" encoding="utf-8"?>
<wsDr xmlns="http://schemas.openxmlformats.org/drawingml/2006/spreadsheetDrawing">
  <oneCellAnchor>
    <from>
      <col>0</col>
      <colOff>0</colOff>
      <row>20</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47</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74</row>
      <rowOff>0</rowOff>
    </from>
    <ext cx="648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5.xml><?xml version="1.0" encoding="utf-8"?>
<wsDr xmlns="http://schemas.openxmlformats.org/drawingml/2006/spreadsheetDrawing">
  <oneCellAnchor>
    <from>
      <col>0</col>
      <colOff>0</colOff>
      <row>21</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48</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75</row>
      <rowOff>0</rowOff>
    </from>
    <ext cx="648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102</row>
      <rowOff>0</rowOff>
    </from>
    <ext cx="6480000" cy="43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6.xml><?xml version="1.0" encoding="utf-8"?>
<wsDr xmlns="http://schemas.openxmlformats.org/drawingml/2006/spreadsheetDrawing">
  <oneCellAnchor>
    <from>
      <col>0</col>
      <colOff>0</colOff>
      <row>22</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49</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76</row>
      <rowOff>0</rowOff>
    </from>
    <ext cx="648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7.xml><?xml version="1.0" encoding="utf-8"?>
<wsDr xmlns="http://schemas.openxmlformats.org/drawingml/2006/spreadsheetDrawing">
  <oneCellAnchor>
    <from>
      <col>0</col>
      <colOff>0</colOff>
      <row>18</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xml><?xml version="1.0" encoding="utf-8"?>
<wsDr xmlns="http://schemas.openxmlformats.org/drawingml/2006/spreadsheetDrawing">
  <oneCellAnchor>
    <from>
      <col>0</col>
      <colOff>0</colOff>
      <row>62</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9.xml><?xml version="1.0" encoding="utf-8"?>
<wsDr xmlns="http://schemas.openxmlformats.org/drawingml/2006/spreadsheetDrawing">
  <oneCellAnchor>
    <from>
      <col>0</col>
      <colOff>0</colOff>
      <row>42</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69</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10.xml><?xml version="1.0" encoding="utf-8"?>
<wsDr xmlns="http://schemas.openxmlformats.org/drawingml/2006/spreadsheetDrawing">
  <oneCellAnchor>
    <from>
      <col>0</col>
      <colOff>0</colOff>
      <row>25</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52</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Executive Summary!A1" TargetMode="External" Id="rId1"/><Relationship Type="http://schemas.openxmlformats.org/officeDocument/2006/relationships/hyperlink" Target="#INC_Analysis!A1" TargetMode="External" Id="rId2"/><Relationship Type="http://schemas.openxmlformats.org/officeDocument/2006/relationships/hyperlink" Target="#INC_SLA!A1" TargetMode="External" Id="rId3"/><Relationship Type="http://schemas.openxmlformats.org/officeDocument/2006/relationships/hyperlink" Target="#CHG_Analysis!A1" TargetMode="External" Id="rId4"/><Relationship Type="http://schemas.openxmlformats.org/officeDocument/2006/relationships/hyperlink" Target="#SRQ_Analysis!A1" TargetMode="External" Id="rId5"/><Relationship Type="http://schemas.openxmlformats.org/officeDocument/2006/relationships/hyperlink" Target="#PRO_Analysis!A1" TargetMode="External" Id="rId6"/><Relationship Type="http://schemas.openxmlformats.org/officeDocument/2006/relationships/hyperlink" Target="#CRO_Cross-Process!A1" TargetMode="External" Id="rId7"/><Relationship Type="http://schemas.openxmlformats.org/officeDocument/2006/relationships/hyperlink" Target="#CRO_Personnel!A1" TargetMode="External" Id="rId8"/><Relationship Type="http://schemas.openxmlformats.org/officeDocument/2006/relationships/hyperlink" Target="#CRO_Time Analysis!A1" TargetMode="External" Id="rId9"/><Relationship Type="http://schemas.openxmlformats.org/officeDocument/2006/relationships/hyperlink" Target="#Action Plan!A1" TargetMode="External" Id="rId10"/><Relationship Type="http://schemas.openxmlformats.org/officeDocument/2006/relationships/drawing" Target="/xl/drawings/drawing1.xml" Id="rId1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_rels/sheet8.xml.rels><Relationships xmlns="http://schemas.openxmlformats.org/package/2006/relationships"><Relationship Type="http://schemas.openxmlformats.org/officeDocument/2006/relationships/drawing" Target="/xl/drawings/drawing7.xml" Id="rId1"/></Relationships>
</file>

<file path=xl/worksheets/_rels/sheet9.xml.rels><Relationships xmlns="http://schemas.openxmlformats.org/package/2006/relationships"><Relationship Type="http://schemas.openxmlformats.org/officeDocument/2006/relationships/drawing" Target="/xl/drawings/drawing8.xml" Id="rId1"/></Relationships>
</file>

<file path=xl/worksheets/_rels/sheet10.xml.rels><Relationships xmlns="http://schemas.openxmlformats.org/package/2006/relationships"><Relationship Type="http://schemas.openxmlformats.org/officeDocument/2006/relationships/drawing" Target="/xl/drawings/drawing9.xml" Id="rId1"/></Relationships>
</file>

<file path=xl/worksheets/_rels/sheet11.xml.rels><Relationships xmlns="http://schemas.openxmlformats.org/package/2006/relationships"><Relationship Type="http://schemas.openxmlformats.org/officeDocument/2006/relationships/drawing" Target="/xl/drawings/drawing10.xml" Id="rId1"/></Relationships>
</file>

<file path=xl/worksheets/sheet1.xml><?xml version="1.0" encoding="utf-8"?>
<worksheet xmlns="http://schemas.openxmlformats.org/spreadsheetml/2006/main">
  <sheetPr>
    <tabColor rgb="001e3a5f"/>
    <outlinePr summaryBelow="1" summaryRight="1"/>
    <pageSetUpPr fitToPage="1"/>
  </sheetPr>
  <dimension ref="A1:J105"/>
  <sheetViews>
    <sheetView workbookViewId="0">
      <selection activeCell="A1" sqref="A1"/>
    </sheetView>
  </sheetViews>
  <sheetFormatPr baseColWidth="8" defaultRowHeight="15"/>
  <cols>
    <col width="12" customWidth="1" min="1" max="1"/>
    <col width="30" customWidth="1" min="2" max="2"/>
    <col width="30" customWidth="1" min="3" max="3"/>
    <col width="12" customWidth="1" min="4" max="4"/>
  </cols>
  <sheetData>
    <row r="1" ht="36" customHeight="1">
      <c r="A1" s="1" t="inlineStr">
        <is>
          <t>Executive Summary</t>
        </is>
      </c>
    </row>
    <row r="2" ht="22" customHeight="1">
      <c r="A2" s="2" t="inlineStr">
        <is>
          <t>2024-04-19 — 2025-07-06</t>
        </is>
      </c>
    </row>
    <row r="3" ht="10" customHeight="1"/>
    <row r="4" ht="26" customHeight="1">
      <c r="A4" s="3" t="inlineStr">
        <is>
          <t>KPI Summary</t>
        </is>
      </c>
    </row>
    <row r="5" ht="20" customHeight="1">
      <c r="A5" s="4" t="inlineStr">
        <is>
          <t>KPI</t>
        </is>
      </c>
      <c r="B5" s="4" t="inlineStr">
        <is>
          <t>Value</t>
        </is>
      </c>
      <c r="C5" s="4" t="inlineStr">
        <is>
          <t>Status</t>
        </is>
      </c>
    </row>
    <row r="6" ht="18" customHeight="1">
      <c r="A6" s="5" t="inlineStr">
        <is>
          <t>Health Score</t>
        </is>
      </c>
      <c r="B6" s="5" t="inlineStr">
        <is>
          <t>33</t>
        </is>
      </c>
      <c r="C6" s="5" t="inlineStr">
        <is>
          <t>At Risk</t>
        </is>
      </c>
    </row>
    <row r="7" ht="18" customHeight="1">
      <c r="A7" s="6" t="inlineStr">
        <is>
          <t>Incident SLA Rate</t>
        </is>
      </c>
      <c r="B7" s="6" t="inlineStr">
        <is>
          <t>64.2%</t>
        </is>
      </c>
      <c r="C7" s="6" t="inlineStr">
        <is>
          <t>At Risk</t>
        </is>
      </c>
    </row>
    <row r="8" ht="18" customHeight="1">
      <c r="A8" s="5" t="inlineStr">
        <is>
          <t>MTTR</t>
        </is>
      </c>
      <c r="B8" s="5" t="inlineStr">
        <is>
          <t>29.4h</t>
        </is>
      </c>
      <c r="C8" s="5" t="inlineStr"/>
    </row>
    <row r="9" ht="18" customHeight="1">
      <c r="A9" s="6" t="inlineStr">
        <is>
          <t>Change Success Rate</t>
        </is>
      </c>
      <c r="B9" s="6" t="inlineStr">
        <is>
          <t>84.0%</t>
        </is>
      </c>
      <c r="C9" s="6" t="inlineStr">
        <is>
          <t>Fair</t>
        </is>
      </c>
    </row>
    <row r="10" ht="18" customHeight="1">
      <c r="A10" s="5" t="inlineStr">
        <is>
          <t>Emergency Change Rate</t>
        </is>
      </c>
      <c r="B10" s="5" t="inlineStr">
        <is>
          <t>0.0%</t>
        </is>
      </c>
      <c r="C10" s="5" t="inlineStr"/>
    </row>
    <row r="11" ht="18" customHeight="1">
      <c r="A11" s="6" t="inlineStr">
        <is>
          <t>Request Fulfillment</t>
        </is>
      </c>
      <c r="B11" s="6" t="inlineStr">
        <is>
          <t>66.0%</t>
        </is>
      </c>
      <c r="C11" s="6" t="inlineStr">
        <is>
          <t>At Risk</t>
        </is>
      </c>
    </row>
    <row r="12" ht="18" customHeight="1">
      <c r="A12" s="5" t="inlineStr">
        <is>
          <t>CSAT</t>
        </is>
      </c>
      <c r="B12" s="5" t="inlineStr">
        <is>
          <t>3.61</t>
        </is>
      </c>
      <c r="C12" s="5" t="inlineStr"/>
    </row>
    <row r="13" ht="18" customHeight="1">
      <c r="A13" s="6" t="inlineStr">
        <is>
          <t>Problem Closure Rate</t>
        </is>
      </c>
      <c r="B13" s="6" t="inlineStr">
        <is>
          <t>48.0%</t>
        </is>
      </c>
      <c r="C13" s="6" t="inlineStr">
        <is>
          <t>At Risk</t>
        </is>
      </c>
    </row>
    <row r="14" ht="10" customHeight="1"/>
    <row r="15" ht="26" customHeight="1">
      <c r="A15" s="3" t="inlineStr">
        <is>
          <t>Contents</t>
        </is>
      </c>
    </row>
    <row r="16">
      <c r="A16" s="7" t="inlineStr">
        <is>
          <t>Executive Summary</t>
        </is>
      </c>
    </row>
    <row r="17">
      <c r="A17" s="7" t="inlineStr">
        <is>
          <t>INC_Analysis</t>
        </is>
      </c>
    </row>
    <row r="18">
      <c r="A18" s="7" t="inlineStr">
        <is>
          <t>INC_SLA</t>
        </is>
      </c>
    </row>
    <row r="19">
      <c r="A19" s="7" t="inlineStr">
        <is>
          <t>CHG_Analysis</t>
        </is>
      </c>
    </row>
    <row r="20">
      <c r="A20" s="7" t="inlineStr">
        <is>
          <t>SRQ_Analysis</t>
        </is>
      </c>
    </row>
    <row r="21">
      <c r="A21" s="7" t="inlineStr">
        <is>
          <t>PRO_Analysis</t>
        </is>
      </c>
    </row>
    <row r="22">
      <c r="A22" s="7" t="inlineStr">
        <is>
          <t>CRO_Cross-Process</t>
        </is>
      </c>
    </row>
    <row r="23">
      <c r="A23" s="7" t="inlineStr">
        <is>
          <t>CRO_Personnel</t>
        </is>
      </c>
    </row>
    <row r="24">
      <c r="A24" s="7" t="inlineStr">
        <is>
          <t>CRO_Time Analysis</t>
        </is>
      </c>
    </row>
    <row r="25">
      <c r="A25" s="7" t="inlineStr">
        <is>
          <t>Action Plan</t>
        </is>
      </c>
    </row>
    <row r="27" ht="26" customHeight="1">
      <c r="A27" s="3" t="inlineStr">
        <is>
          <t>Visual Analysis</t>
        </is>
      </c>
    </row>
    <row r="28" ht="16" customHeight="1">
      <c r="A28" s="8" t="inlineStr">
        <is>
          <t>Overall health score gauge</t>
        </is>
      </c>
    </row>
    <row r="48" ht="16" customHeight="1">
      <c r="A48" s="8" t="inlineStr">
        <is>
          <t>Process health radar across four ITIL processes</t>
        </is>
      </c>
    </row>
    <row r="75" ht="26" customHeight="1">
      <c r="A75" s="3" t="inlineStr">
        <is>
          <t>Top Risks</t>
        </is>
      </c>
    </row>
    <row r="76" ht="20" customHeight="1">
      <c r="A76" s="4" t="inlineStr">
        <is>
          <t>Priority</t>
        </is>
      </c>
      <c r="B76" s="4" t="inlineStr">
        <is>
          <t>Risk</t>
        </is>
      </c>
      <c r="C76" s="4" t="inlineStr">
        <is>
          <t>Impact</t>
        </is>
      </c>
      <c r="D76" s="4" t="inlineStr">
        <is>
          <t>Process</t>
        </is>
      </c>
    </row>
    <row r="77" ht="18" customHeight="1">
      <c r="A77" s="5" t="inlineStr">
        <is>
          <t>Critical</t>
        </is>
      </c>
      <c r="B77" s="5" t="inlineStr">
        <is>
          <t>Incident SLA compliance at 64.2%</t>
        </is>
      </c>
      <c r="C77" s="5" t="inlineStr">
        <is>
          <t>Customer SLO commitments at risk</t>
        </is>
      </c>
      <c r="D77" s="5" t="inlineStr">
        <is>
          <t>incident</t>
        </is>
      </c>
    </row>
    <row r="78" ht="18" customHeight="1">
      <c r="A78" s="6" t="inlineStr">
        <is>
          <t>Critical</t>
        </is>
      </c>
      <c r="B78" s="6" t="inlineStr">
        <is>
          <t>9 changes caused incidents (18.0%)</t>
        </is>
      </c>
      <c r="C78" s="6" t="inlineStr">
        <is>
          <t>Changes are causing service incidents</t>
        </is>
      </c>
      <c r="D78" s="6" t="inlineStr">
        <is>
          <t>change</t>
        </is>
      </c>
    </row>
    <row r="79" ht="18" customHeight="1">
      <c r="A79" s="5" t="inlineStr">
        <is>
          <t>Warning</t>
        </is>
      </c>
      <c r="B79" s="5" t="inlineStr">
        <is>
          <t>Category 'Compliance' MTTR is 67.8h</t>
        </is>
      </c>
      <c r="C79" s="5" t="inlineStr">
        <is>
          <t>Extended resolution times affecting service levels</t>
        </is>
      </c>
      <c r="D79" s="5" t="inlineStr">
        <is>
          <t>incident</t>
        </is>
      </c>
    </row>
    <row r="80" ht="18" customHeight="1">
      <c r="A80" s="6" t="inlineStr">
        <is>
          <t>Warning</t>
        </is>
      </c>
      <c r="B80" s="6" t="inlineStr">
        <is>
          <t>Category 'Customer Complaint' MTTR is 341.8h</t>
        </is>
      </c>
      <c r="C80" s="6" t="inlineStr">
        <is>
          <t>Extended resolution times affecting service levels</t>
        </is>
      </c>
      <c r="D80" s="6" t="inlineStr">
        <is>
          <t>incident</t>
        </is>
      </c>
    </row>
    <row r="81" ht="18" customHeight="1">
      <c r="A81" s="5" t="inlineStr">
        <is>
          <t>Warning</t>
        </is>
      </c>
      <c r="B81" s="5" t="inlineStr">
        <is>
          <t>Category 'Infra' MTTR is 70.3h</t>
        </is>
      </c>
      <c r="C81" s="5" t="inlineStr">
        <is>
          <t>Extended resolution times affecting service levels</t>
        </is>
      </c>
      <c r="D81" s="5" t="inlineStr">
        <is>
          <t>incident</t>
        </is>
      </c>
    </row>
    <row r="82" ht="10" customHeight="1"/>
    <row r="83" ht="10" customHeight="1"/>
    <row r="84" ht="26" customHeight="1">
      <c r="A84" s="9" t="inlineStr">
        <is>
          <t>🤖 AI Insight</t>
        </is>
      </c>
    </row>
    <row r="85" ht="30" customHeight="1">
      <c r="A85" s="10" t="inlineStr">
        <is>
          <t>Based on the service health data, the overall assessment is that the service is in a critical state of operational instability, with an extremely low health score and a disproportionately high volume of incidents driving systemic risk. The most critical improvement recommendation is to immediately implement a Major Incident Review and Problem Management process to analyze the root causes of the 8,977 incidents and convert them into actionable problem records to prevent recurrence.</t>
        </is>
      </c>
    </row>
    <row r="86" ht="6" customHeight="1"/>
    <row r="87" ht="30" customHeight="1">
      <c r="A87" s="11" t="inlineStr">
        <is>
          <t>📌 **Finding:**</t>
        </is>
      </c>
    </row>
    <row r="88" ht="30" customHeight="1">
      <c r="A88" s="10" t="inlineStr">
        <is>
          <t>1.  **Critical Service Health Degradation:** The service health score of 33/100 is critically low, placing it firmly in the "At Risk" category. This score, which is a composite metric, indicates a severe failure across multiple operational criteria, far below the typical target threshold of 85+ for stable services.</t>
        </is>
      </c>
    </row>
    <row r="89" ht="30" customHeight="1">
      <c r="A89" s="10" t="inlineStr">
        <is>
          <t>2.  **Extreme Incident Volume Overwhelming Operations:** The total of 8,977 incidents represents a massive operational burden. This volume is orders of magnitude higher than the counts for Changes (50), Requests (50), and Problems (50), indicating a reactive "fire-fighting" mode where the IT team is almost exclusively consumed by handling failures rather than proactive improvement or fulfilling standard service requests.</t>
        </is>
      </c>
    </row>
    <row r="90" ht="30" customHeight="1">
      <c r="A90" s="10" t="inlineStr">
        <is>
          <t>3.  **Ineffective Problem Management &amp; Risk Proliferation:** The ratio of Incidents to Problems is approximately 180:1 (8,977 / 50), which is severely misaligned with ITIL best practices. This suggests that less than 0.6% of incidents are being analyzed for root cause, allowing the same underlying errors to recur continuously. This is directly correlated with the identification of 5 Top Risks, showing known, unaddressed systemic vulnerabilities.</t>
        </is>
      </c>
    </row>
    <row r="91" ht="6" customHeight="1"/>
    <row r="92" ht="30" customHeight="1">
      <c r="A92" s="11" t="inlineStr">
        <is>
          <t>🔍 **Root Cause:**</t>
        </is>
      </c>
    </row>
    <row r="93" ht="30" customHeight="1">
      <c r="A93" s="10" t="inlineStr">
        <is>
          <t>*   **Process:** A complete breakdown in the Problem Management process. The data shows a reactive incident management process with no effective follow-through to root cause analysis. The near-identical counts for Changes, Requests, and Problems (all at 50) suggest these processes are merely ticking boxes without meaningful integration, as the Problem count should be dynamically driven by incident analysis.</t>
        </is>
      </c>
    </row>
    <row r="94" ht="30" customHeight="1">
      <c r="A94" s="10" t="inlineStr">
        <is>
          <t>*   **Technology &amp; Management:** The technology stack or architecture likely has fundamental stability flaws that are not being addressed because management focus is on incident closure speed (MTTR) rather than prevention. The lack of investment in monitoring, automation for incident correlation, or a robust knowledge base forces repetitive manual work. Management metrics likely reward closing tickets, not eliminating them.</t>
        </is>
      </c>
    </row>
    <row r="95" ht="30" customHeight="1">
      <c r="A95" s="10" t="inlineStr">
        <is>
          <t>*   **People:** Operations staff are completely saturated, spending 99.4% of their time on reactive incident response (based on the incident-to-problem ratio). This leaves no bandwidth for engineering work on problems, changes, or fulfillment, leading to burnout and a perpetuating cycle of failure.</t>
        </is>
      </c>
    </row>
    <row r="96" ht="6" customHeight="1"/>
    <row r="97" ht="30" customHeight="1">
      <c r="A97" s="11" t="inlineStr">
        <is>
          <t>💡 **Recommendations:**</t>
        </is>
      </c>
    </row>
    <row r="98" ht="30" customHeight="1">
      <c r="A98" s="10" t="inlineStr">
        <is>
          <t>1.  Mandate a weekly Major Incident Review focusing on the top 10% of incidents by impact to formally initiate Problem records.</t>
        </is>
      </c>
    </row>
    <row r="99" ht="30" customHeight="1">
      <c r="A99" s="10" t="inlineStr">
        <is>
          <t>2.  Re-allocate 20% of operational staff capacity from incident response to dedicated Problem Management and corrective action implementation.</t>
        </is>
      </c>
    </row>
    <row r="100" ht="6" customHeight="1"/>
    <row r="101" ht="30" customHeight="1">
      <c r="A101" s="11" t="inlineStr">
        <is>
          <t>📈 **Expected Impact:**</t>
        </is>
      </c>
    </row>
    <row r="102" ht="30" customHeight="1">
      <c r="A102" s="10" t="inlineStr">
        <is>
          <t>Implementing these measures is expected to reduce major incident volume by at least 25% within the next quarter, directly improving the Service Health Score.</t>
        </is>
      </c>
    </row>
    <row r="103" ht="10" customHeight="1"/>
    <row r="104" ht="10" customHeight="1"/>
    <row r="105">
      <c r="A105" s="12" t="inlineStr">
        <is>
          <t>Generated by Customer Cross-Overview Report • 2026-01-31 09:36</t>
        </is>
      </c>
    </row>
  </sheetData>
  <mergeCells count="24">
    <mergeCell ref="A85:J85"/>
    <mergeCell ref="A97:J97"/>
    <mergeCell ref="A4:J4"/>
    <mergeCell ref="A28:J28"/>
    <mergeCell ref="A102:J102"/>
    <mergeCell ref="A93:J93"/>
    <mergeCell ref="A92:J92"/>
    <mergeCell ref="A15:J15"/>
    <mergeCell ref="A48:J48"/>
    <mergeCell ref="A98:J98"/>
    <mergeCell ref="A1:J1"/>
    <mergeCell ref="A94:J94"/>
    <mergeCell ref="A88:J88"/>
    <mergeCell ref="A87:J87"/>
    <mergeCell ref="A90:J90"/>
    <mergeCell ref="A99:J99"/>
    <mergeCell ref="A75:J75"/>
    <mergeCell ref="A84:J84"/>
    <mergeCell ref="A89:J89"/>
    <mergeCell ref="A27:J27"/>
    <mergeCell ref="A105:J105"/>
    <mergeCell ref="A95:J95"/>
    <mergeCell ref="A101:J101"/>
    <mergeCell ref="A2:J2"/>
  </mergeCells>
  <hyperlinks>
    <hyperlink xmlns:r="http://schemas.openxmlformats.org/officeDocument/2006/relationships" ref="A16" r:id="rId1"/>
    <hyperlink xmlns:r="http://schemas.openxmlformats.org/officeDocument/2006/relationships" ref="A17" r:id="rId2"/>
    <hyperlink xmlns:r="http://schemas.openxmlformats.org/officeDocument/2006/relationships" ref="A18" r:id="rId3"/>
    <hyperlink xmlns:r="http://schemas.openxmlformats.org/officeDocument/2006/relationships" ref="A19" r:id="rId4"/>
    <hyperlink xmlns:r="http://schemas.openxmlformats.org/officeDocument/2006/relationships" ref="A20" r:id="rId5"/>
    <hyperlink xmlns:r="http://schemas.openxmlformats.org/officeDocument/2006/relationships" ref="A21" r:id="rId6"/>
    <hyperlink xmlns:r="http://schemas.openxmlformats.org/officeDocument/2006/relationships" ref="A22" r:id="rId7"/>
    <hyperlink xmlns:r="http://schemas.openxmlformats.org/officeDocument/2006/relationships" ref="A23" r:id="rId8"/>
    <hyperlink xmlns:r="http://schemas.openxmlformats.org/officeDocument/2006/relationships" ref="A24" r:id="rId9"/>
    <hyperlink xmlns:r="http://schemas.openxmlformats.org/officeDocument/2006/relationships" ref="A25" r:id="rId10"/>
  </hyperlinks>
  <pageMargins left="0.75" right="0.75" top="1" bottom="1" header="0.5" footer="0.5"/>
  <pageSetup orientation="landscape" fitToHeight="0" fitToWidth="1"/>
  <drawing xmlns:r="http://schemas.openxmlformats.org/officeDocument/2006/relationships" r:id="rId11"/>
</worksheet>
</file>

<file path=xl/worksheets/sheet2.xml><?xml version="1.0" encoding="utf-8"?>
<worksheet xmlns="http://schemas.openxmlformats.org/spreadsheetml/2006/main">
  <sheetPr>
    <outlinePr summaryBelow="1" summaryRight="1"/>
    <pageSetUpPr fitToPage="1"/>
  </sheetPr>
  <dimension ref="A1:E222"/>
  <sheetViews>
    <sheetView workbookViewId="0">
      <selection activeCell="A1" sqref="A1"/>
    </sheetView>
  </sheetViews>
  <sheetFormatPr baseColWidth="8" defaultRowHeight="15"/>
  <sheetData>
    <row r="1">
      <c r="A1" t="inlineStr">
        <is>
          <t>Segment</t>
        </is>
      </c>
      <c r="B1" t="inlineStr">
        <is>
          <t>Value</t>
        </is>
      </c>
    </row>
    <row r="2">
      <c r="A2" t="inlineStr">
        <is>
          <t>Score</t>
        </is>
      </c>
      <c r="B2" t="n">
        <v>33</v>
      </c>
    </row>
    <row r="3">
      <c r="A3" t="inlineStr">
        <is>
          <t>Remaining</t>
        </is>
      </c>
      <c r="B3" t="n">
        <v>67</v>
      </c>
    </row>
    <row r="5">
      <c r="A5" t="inlineStr">
        <is>
          <t>KPI</t>
        </is>
      </c>
      <c r="B5" t="inlineStr">
        <is>
          <t>Score</t>
        </is>
      </c>
    </row>
    <row r="6">
      <c r="A6" t="inlineStr">
        <is>
          <t>Incidents (SLA)</t>
        </is>
      </c>
      <c r="B6" t="n">
        <v>64.2</v>
      </c>
    </row>
    <row r="7">
      <c r="A7" t="inlineStr">
        <is>
          <t>Changes (Success)</t>
        </is>
      </c>
      <c r="B7" t="n">
        <v>84</v>
      </c>
    </row>
    <row r="8">
      <c r="A8" t="inlineStr">
        <is>
          <t>Requests (Fulfill)</t>
        </is>
      </c>
      <c r="B8" t="n">
        <v>66</v>
      </c>
    </row>
    <row r="9">
      <c r="A9" t="inlineStr">
        <is>
          <t>Problems (Close)</t>
        </is>
      </c>
      <c r="B9" t="n">
        <v>48</v>
      </c>
    </row>
    <row r="11">
      <c r="A11" t="inlineStr">
        <is>
          <t>Month</t>
        </is>
      </c>
      <c r="B11" t="inlineStr">
        <is>
          <t>Count</t>
        </is>
      </c>
      <c r="C11" t="inlineStr">
        <is>
          <t>Completion %</t>
        </is>
      </c>
    </row>
    <row r="12">
      <c r="A12" t="inlineStr">
        <is>
          <t>2024-04</t>
        </is>
      </c>
      <c r="B12" t="n">
        <v>195</v>
      </c>
      <c r="C12" t="n">
        <v>46.2</v>
      </c>
    </row>
    <row r="13">
      <c r="A13" t="inlineStr">
        <is>
          <t>2024-05</t>
        </is>
      </c>
      <c r="B13" t="n">
        <v>725</v>
      </c>
      <c r="C13" t="n">
        <v>60.3</v>
      </c>
    </row>
    <row r="14">
      <c r="A14" t="inlineStr">
        <is>
          <t>2024-06</t>
        </is>
      </c>
      <c r="B14" t="n">
        <v>924</v>
      </c>
      <c r="C14" t="n">
        <v>62.9</v>
      </c>
    </row>
    <row r="15">
      <c r="A15" t="inlineStr">
        <is>
          <t>2024-07</t>
        </is>
      </c>
      <c r="B15" t="n">
        <v>1007</v>
      </c>
      <c r="C15" t="n">
        <v>64.3</v>
      </c>
    </row>
    <row r="16">
      <c r="A16" t="inlineStr">
        <is>
          <t>2024-08</t>
        </is>
      </c>
      <c r="B16" t="n">
        <v>712</v>
      </c>
      <c r="C16" t="n">
        <v>62.8</v>
      </c>
    </row>
    <row r="17">
      <c r="A17" t="inlineStr">
        <is>
          <t>2024-09</t>
        </is>
      </c>
      <c r="B17" t="n">
        <v>621</v>
      </c>
      <c r="C17" t="n">
        <v>74.59999999999999</v>
      </c>
    </row>
    <row r="18">
      <c r="A18" t="inlineStr">
        <is>
          <t>2024-10</t>
        </is>
      </c>
      <c r="B18" t="n">
        <v>542</v>
      </c>
      <c r="C18" t="n">
        <v>69.40000000000001</v>
      </c>
    </row>
    <row r="19">
      <c r="A19" t="inlineStr">
        <is>
          <t>2024-11</t>
        </is>
      </c>
      <c r="B19" t="n">
        <v>441</v>
      </c>
      <c r="C19" t="n">
        <v>65.8</v>
      </c>
    </row>
    <row r="20">
      <c r="A20" t="inlineStr">
        <is>
          <t>2024-12</t>
        </is>
      </c>
      <c r="B20" t="n">
        <v>432</v>
      </c>
      <c r="C20" t="n">
        <v>66.2</v>
      </c>
    </row>
    <row r="21">
      <c r="A21" t="inlineStr">
        <is>
          <t>2025-01</t>
        </is>
      </c>
      <c r="B21" t="n">
        <v>511</v>
      </c>
      <c r="C21" t="n">
        <v>65.90000000000001</v>
      </c>
    </row>
    <row r="22">
      <c r="A22" t="inlineStr">
        <is>
          <t>2025-02</t>
        </is>
      </c>
      <c r="B22" t="n">
        <v>410</v>
      </c>
      <c r="C22" t="n">
        <v>66.8</v>
      </c>
    </row>
    <row r="23">
      <c r="A23" t="inlineStr">
        <is>
          <t>2025-03</t>
        </is>
      </c>
      <c r="B23" t="n">
        <v>599</v>
      </c>
      <c r="C23" t="n">
        <v>66.09999999999999</v>
      </c>
    </row>
    <row r="24">
      <c r="A24" t="inlineStr">
        <is>
          <t>2025-04</t>
        </is>
      </c>
      <c r="B24" t="n">
        <v>491</v>
      </c>
      <c r="C24" t="n">
        <v>58.5</v>
      </c>
    </row>
    <row r="25">
      <c r="A25" t="inlineStr">
        <is>
          <t>2025-05</t>
        </is>
      </c>
      <c r="B25" t="n">
        <v>652</v>
      </c>
      <c r="C25" t="n">
        <v>59.4</v>
      </c>
    </row>
    <row r="26">
      <c r="A26" t="inlineStr">
        <is>
          <t>2025-06</t>
        </is>
      </c>
      <c r="B26" t="n">
        <v>641</v>
      </c>
      <c r="C26" t="n">
        <v>66.8</v>
      </c>
    </row>
    <row r="27">
      <c r="A27" t="inlineStr">
        <is>
          <t>2025-07</t>
        </is>
      </c>
      <c r="B27" t="n">
        <v>74</v>
      </c>
      <c r="C27" t="n">
        <v>50</v>
      </c>
    </row>
    <row r="29">
      <c r="A29" t="inlineStr">
        <is>
          <t>Priority</t>
        </is>
      </c>
      <c r="B29" t="inlineStr">
        <is>
          <t>Count</t>
        </is>
      </c>
    </row>
    <row r="30">
      <c r="A30" t="inlineStr">
        <is>
          <t>P4</t>
        </is>
      </c>
      <c r="B30" t="n">
        <v>4042</v>
      </c>
    </row>
    <row r="31">
      <c r="A31" t="inlineStr">
        <is>
          <t>P1</t>
        </is>
      </c>
      <c r="B31" t="n">
        <v>448</v>
      </c>
    </row>
    <row r="32">
      <c r="A32" t="inlineStr">
        <is>
          <t>P3</t>
        </is>
      </c>
      <c r="B32" t="n">
        <v>3141</v>
      </c>
    </row>
    <row r="33">
      <c r="A33" t="inlineStr">
        <is>
          <t>P2</t>
        </is>
      </c>
      <c r="B33" t="n">
        <v>1346</v>
      </c>
    </row>
    <row r="35">
      <c r="A35" t="inlineStr">
        <is>
          <t>Category</t>
        </is>
      </c>
      <c r="B35" t="inlineStr">
        <is>
          <t>Count</t>
        </is>
      </c>
    </row>
    <row r="36">
      <c r="A36" t="inlineStr">
        <is>
          <t>Digital View Monitoring</t>
        </is>
      </c>
      <c r="B36" t="n">
        <v>3936</v>
      </c>
    </row>
    <row r="37">
      <c r="A37" t="inlineStr">
        <is>
          <t>International Money Transfer</t>
        </is>
      </c>
      <c r="B37" t="n">
        <v>809</v>
      </c>
    </row>
    <row r="38">
      <c r="A38" t="inlineStr">
        <is>
          <t>Card</t>
        </is>
      </c>
      <c r="B38" t="n">
        <v>790</v>
      </c>
    </row>
    <row r="39">
      <c r="A39" t="inlineStr">
        <is>
          <t>Onboarding</t>
        </is>
      </c>
      <c r="B39" t="n">
        <v>706</v>
      </c>
    </row>
    <row r="40">
      <c r="A40" t="inlineStr">
        <is>
          <t>Other</t>
        </is>
      </c>
      <c r="B40" t="n">
        <v>656</v>
      </c>
    </row>
    <row r="41">
      <c r="A41" t="inlineStr">
        <is>
          <t>Cash In</t>
        </is>
      </c>
      <c r="B41" t="n">
        <v>411</v>
      </c>
    </row>
    <row r="42">
      <c r="A42" t="inlineStr">
        <is>
          <t>Outward Fund transfer</t>
        </is>
      </c>
      <c r="B42" t="n">
        <v>320</v>
      </c>
    </row>
    <row r="43">
      <c r="A43" t="inlineStr">
        <is>
          <t>Cardless Cash Out</t>
        </is>
      </c>
      <c r="B43" t="n">
        <v>311</v>
      </c>
    </row>
    <row r="44">
      <c r="A44" t="inlineStr">
        <is>
          <t>Account Management</t>
        </is>
      </c>
      <c r="B44" t="n">
        <v>266</v>
      </c>
    </row>
    <row r="45">
      <c r="A45" t="inlineStr">
        <is>
          <t>Compliance</t>
        </is>
      </c>
      <c r="B45" t="n">
        <v>220</v>
      </c>
    </row>
    <row r="47">
      <c r="A47" t="inlineStr">
        <is>
          <t>Segment</t>
        </is>
      </c>
      <c r="B47" t="inlineStr">
        <is>
          <t>Value</t>
        </is>
      </c>
    </row>
    <row r="48">
      <c r="A48" t="inlineStr">
        <is>
          <t>Met</t>
        </is>
      </c>
      <c r="B48" t="n">
        <v>64.2</v>
      </c>
    </row>
    <row r="49">
      <c r="A49" t="inlineStr">
        <is>
          <t>Gap</t>
        </is>
      </c>
      <c r="B49" t="n">
        <v>35.8</v>
      </c>
    </row>
    <row r="51">
      <c r="A51" t="inlineStr">
        <is>
          <t>Segment</t>
        </is>
      </c>
      <c r="B51" t="inlineStr">
        <is>
          <t>Value</t>
        </is>
      </c>
    </row>
    <row r="52">
      <c r="A52" t="inlineStr">
        <is>
          <t>Met</t>
        </is>
      </c>
      <c r="B52" t="n">
        <v>99.2</v>
      </c>
    </row>
    <row r="53">
      <c r="A53" t="inlineStr">
        <is>
          <t>Gap</t>
        </is>
      </c>
      <c r="B53" t="n">
        <v>0.8</v>
      </c>
    </row>
    <row r="55">
      <c r="A55" t="inlineStr">
        <is>
          <t>Month</t>
        </is>
      </c>
      <c r="B55" t="inlineStr">
        <is>
          <t>SLA %</t>
        </is>
      </c>
      <c r="C55" t="inlineStr">
        <is>
          <t>Target</t>
        </is>
      </c>
    </row>
    <row r="56">
      <c r="A56" t="inlineStr">
        <is>
          <t>2024-04</t>
        </is>
      </c>
      <c r="B56" t="n">
        <v>46.2</v>
      </c>
      <c r="C56" t="n">
        <v>95</v>
      </c>
    </row>
    <row r="57">
      <c r="A57" t="inlineStr">
        <is>
          <t>2024-05</t>
        </is>
      </c>
      <c r="B57" t="n">
        <v>60.3</v>
      </c>
      <c r="C57" t="n">
        <v>95</v>
      </c>
    </row>
    <row r="58">
      <c r="A58" t="inlineStr">
        <is>
          <t>2024-06</t>
        </is>
      </c>
      <c r="B58" t="n">
        <v>62.9</v>
      </c>
      <c r="C58" t="n">
        <v>95</v>
      </c>
    </row>
    <row r="59">
      <c r="A59" t="inlineStr">
        <is>
          <t>2024-07</t>
        </is>
      </c>
      <c r="B59" t="n">
        <v>64.3</v>
      </c>
      <c r="C59" t="n">
        <v>95</v>
      </c>
    </row>
    <row r="60">
      <c r="A60" t="inlineStr">
        <is>
          <t>2024-08</t>
        </is>
      </c>
      <c r="B60" t="n">
        <v>62.8</v>
      </c>
      <c r="C60" t="n">
        <v>95</v>
      </c>
    </row>
    <row r="61">
      <c r="A61" t="inlineStr">
        <is>
          <t>2024-09</t>
        </is>
      </c>
      <c r="B61" t="n">
        <v>74.59999999999999</v>
      </c>
      <c r="C61" t="n">
        <v>95</v>
      </c>
    </row>
    <row r="62">
      <c r="A62" t="inlineStr">
        <is>
          <t>2024-10</t>
        </is>
      </c>
      <c r="B62" t="n">
        <v>69.40000000000001</v>
      </c>
      <c r="C62" t="n">
        <v>95</v>
      </c>
    </row>
    <row r="63">
      <c r="A63" t="inlineStr">
        <is>
          <t>2024-11</t>
        </is>
      </c>
      <c r="B63" t="n">
        <v>65.8</v>
      </c>
      <c r="C63" t="n">
        <v>95</v>
      </c>
    </row>
    <row r="64">
      <c r="A64" t="inlineStr">
        <is>
          <t>2024-12</t>
        </is>
      </c>
      <c r="B64" t="n">
        <v>66.2</v>
      </c>
      <c r="C64" t="n">
        <v>95</v>
      </c>
    </row>
    <row r="65">
      <c r="A65" t="inlineStr">
        <is>
          <t>2025-01</t>
        </is>
      </c>
      <c r="B65" t="n">
        <v>65.90000000000001</v>
      </c>
      <c r="C65" t="n">
        <v>95</v>
      </c>
    </row>
    <row r="66">
      <c r="A66" t="inlineStr">
        <is>
          <t>2025-02</t>
        </is>
      </c>
      <c r="B66" t="n">
        <v>66.8</v>
      </c>
      <c r="C66" t="n">
        <v>95</v>
      </c>
    </row>
    <row r="67">
      <c r="A67" t="inlineStr">
        <is>
          <t>2025-03</t>
        </is>
      </c>
      <c r="B67" t="n">
        <v>66.09999999999999</v>
      </c>
      <c r="C67" t="n">
        <v>95</v>
      </c>
    </row>
    <row r="68">
      <c r="A68" t="inlineStr">
        <is>
          <t>2025-04</t>
        </is>
      </c>
      <c r="B68" t="n">
        <v>58.5</v>
      </c>
      <c r="C68" t="n">
        <v>95</v>
      </c>
    </row>
    <row r="69">
      <c r="A69" t="inlineStr">
        <is>
          <t>2025-05</t>
        </is>
      </c>
      <c r="B69" t="n">
        <v>59.4</v>
      </c>
      <c r="C69" t="n">
        <v>95</v>
      </c>
    </row>
    <row r="70">
      <c r="A70" t="inlineStr">
        <is>
          <t>2025-06</t>
        </is>
      </c>
      <c r="B70" t="n">
        <v>66.8</v>
      </c>
      <c r="C70" t="n">
        <v>95</v>
      </c>
    </row>
    <row r="71">
      <c r="A71" t="inlineStr">
        <is>
          <t>2025-07</t>
        </is>
      </c>
      <c r="B71" t="n">
        <v>50</v>
      </c>
      <c r="C71" t="n">
        <v>95</v>
      </c>
    </row>
    <row r="73">
      <c r="A73" t="inlineStr">
        <is>
          <t>Type</t>
        </is>
      </c>
      <c r="B73" t="inlineStr">
        <is>
          <t>Count</t>
        </is>
      </c>
    </row>
    <row r="74">
      <c r="A74" t="inlineStr">
        <is>
          <t>Type0</t>
        </is>
      </c>
      <c r="B74" t="n">
        <v>30</v>
      </c>
    </row>
    <row r="75">
      <c r="A75" t="inlineStr">
        <is>
          <t>Type1</t>
        </is>
      </c>
      <c r="B75" t="n">
        <v>15</v>
      </c>
    </row>
    <row r="76">
      <c r="A76" t="inlineStr">
        <is>
          <t>Type2</t>
        </is>
      </c>
      <c r="B76" t="n">
        <v>5</v>
      </c>
    </row>
    <row r="78">
      <c r="A78" t="inlineStr">
        <is>
          <t>Month</t>
        </is>
      </c>
      <c r="B78" t="inlineStr">
        <is>
          <t>Success %</t>
        </is>
      </c>
      <c r="C78" t="inlineStr">
        <is>
          <t>Threshold</t>
        </is>
      </c>
    </row>
    <row r="79">
      <c r="A79" t="inlineStr">
        <is>
          <t>2024-04</t>
        </is>
      </c>
      <c r="B79" t="n">
        <v>0</v>
      </c>
      <c r="C79" t="n">
        <v>90</v>
      </c>
    </row>
    <row r="80">
      <c r="A80" t="inlineStr">
        <is>
          <t>2024-05</t>
        </is>
      </c>
      <c r="B80" t="n">
        <v>0</v>
      </c>
      <c r="C80" t="n">
        <v>90</v>
      </c>
    </row>
    <row r="81">
      <c r="A81" t="inlineStr">
        <is>
          <t>2024-06</t>
        </is>
      </c>
      <c r="B81" t="n">
        <v>0</v>
      </c>
      <c r="C81" t="n">
        <v>90</v>
      </c>
    </row>
    <row r="82">
      <c r="A82" t="inlineStr">
        <is>
          <t>2024-07</t>
        </is>
      </c>
      <c r="B82" t="n">
        <v>0</v>
      </c>
      <c r="C82" t="n">
        <v>90</v>
      </c>
    </row>
    <row r="83">
      <c r="A83" t="inlineStr">
        <is>
          <t>2024-08</t>
        </is>
      </c>
      <c r="B83" t="n">
        <v>0</v>
      </c>
      <c r="C83" t="n">
        <v>90</v>
      </c>
    </row>
    <row r="84">
      <c r="A84" t="inlineStr">
        <is>
          <t>2024-09</t>
        </is>
      </c>
      <c r="B84" t="n">
        <v>0</v>
      </c>
      <c r="C84" t="n">
        <v>90</v>
      </c>
    </row>
    <row r="85">
      <c r="A85" t="inlineStr">
        <is>
          <t>2024-10</t>
        </is>
      </c>
      <c r="B85" t="n">
        <v>0</v>
      </c>
      <c r="C85" t="n">
        <v>90</v>
      </c>
    </row>
    <row r="86">
      <c r="A86" t="inlineStr">
        <is>
          <t>2024-11</t>
        </is>
      </c>
      <c r="B86" t="n">
        <v>100</v>
      </c>
      <c r="C86" t="n">
        <v>90</v>
      </c>
    </row>
    <row r="87">
      <c r="A87" t="inlineStr">
        <is>
          <t>2024-12</t>
        </is>
      </c>
      <c r="B87" t="n">
        <v>81.2</v>
      </c>
      <c r="C87" t="n">
        <v>90</v>
      </c>
    </row>
    <row r="88">
      <c r="A88" t="inlineStr">
        <is>
          <t>2025-01</t>
        </is>
      </c>
      <c r="B88" t="n">
        <v>81.8</v>
      </c>
      <c r="C88" t="n">
        <v>90</v>
      </c>
    </row>
    <row r="89">
      <c r="A89" t="inlineStr">
        <is>
          <t>2025-02</t>
        </is>
      </c>
      <c r="B89" t="n">
        <v>0</v>
      </c>
      <c r="C89" t="n">
        <v>90</v>
      </c>
    </row>
    <row r="90">
      <c r="A90" t="inlineStr">
        <is>
          <t>2025-03</t>
        </is>
      </c>
      <c r="B90" t="n">
        <v>0</v>
      </c>
      <c r="C90" t="n">
        <v>90</v>
      </c>
    </row>
    <row r="91">
      <c r="A91" t="inlineStr">
        <is>
          <t>2025-04</t>
        </is>
      </c>
      <c r="B91" t="n">
        <v>0</v>
      </c>
      <c r="C91" t="n">
        <v>90</v>
      </c>
    </row>
    <row r="92">
      <c r="A92" t="inlineStr">
        <is>
          <t>2025-05</t>
        </is>
      </c>
      <c r="B92" t="n">
        <v>0</v>
      </c>
      <c r="C92" t="n">
        <v>90</v>
      </c>
    </row>
    <row r="93">
      <c r="A93" t="inlineStr">
        <is>
          <t>2025-06</t>
        </is>
      </c>
      <c r="B93" t="n">
        <v>0</v>
      </c>
      <c r="C93" t="n">
        <v>90</v>
      </c>
    </row>
    <row r="94">
      <c r="A94" t="inlineStr">
        <is>
          <t>2025-07</t>
        </is>
      </c>
      <c r="B94" t="n">
        <v>0</v>
      </c>
      <c r="C94" t="n">
        <v>90</v>
      </c>
    </row>
    <row r="96">
      <c r="A96" t="inlineStr">
        <is>
          <t>Category</t>
        </is>
      </c>
      <c r="B96" t="inlineStr">
        <is>
          <t>Total</t>
        </is>
      </c>
      <c r="C96" t="inlineStr">
        <is>
          <t>Failed</t>
        </is>
      </c>
    </row>
    <row r="97">
      <c r="A97" t="inlineStr">
        <is>
          <t>Infrastructure</t>
        </is>
      </c>
      <c r="B97" t="n">
        <v>16</v>
      </c>
      <c r="C97" t="n">
        <v>0</v>
      </c>
    </row>
    <row r="98">
      <c r="A98" t="inlineStr">
        <is>
          <t>Application</t>
        </is>
      </c>
      <c r="B98" t="n">
        <v>11</v>
      </c>
      <c r="C98" t="n">
        <v>0</v>
      </c>
    </row>
    <row r="99">
      <c r="A99" t="inlineStr">
        <is>
          <t>Database</t>
        </is>
      </c>
      <c r="B99" t="n">
        <v>9</v>
      </c>
      <c r="C99" t="n">
        <v>0</v>
      </c>
    </row>
    <row r="100">
      <c r="A100" t="inlineStr">
        <is>
          <t>Network</t>
        </is>
      </c>
      <c r="B100" t="n">
        <v>7</v>
      </c>
      <c r="C100" t="n">
        <v>0</v>
      </c>
    </row>
    <row r="101">
      <c r="A101" t="inlineStr">
        <is>
          <t>Security</t>
        </is>
      </c>
      <c r="B101" t="n">
        <v>7</v>
      </c>
      <c r="C101" t="n">
        <v>0</v>
      </c>
    </row>
    <row r="103">
      <c r="A103" t="inlineStr">
        <is>
          <t>Type</t>
        </is>
      </c>
      <c r="B103" t="inlineStr">
        <is>
          <t>Count</t>
        </is>
      </c>
    </row>
    <row r="104">
      <c r="A104" t="inlineStr">
        <is>
          <t>Type0</t>
        </is>
      </c>
      <c r="B104" t="n">
        <v>20</v>
      </c>
    </row>
    <row r="105">
      <c r="A105" t="inlineStr">
        <is>
          <t>Type1</t>
        </is>
      </c>
      <c r="B105" t="n">
        <v>14</v>
      </c>
    </row>
    <row r="106">
      <c r="A106" t="inlineStr">
        <is>
          <t>Type2</t>
        </is>
      </c>
      <c r="B106" t="n">
        <v>7</v>
      </c>
    </row>
    <row r="107">
      <c r="A107" t="inlineStr">
        <is>
          <t>Type3</t>
        </is>
      </c>
      <c r="B107" t="n">
        <v>9</v>
      </c>
    </row>
    <row r="109">
      <c r="A109" t="inlineStr">
        <is>
          <t>Rating</t>
        </is>
      </c>
      <c r="B109" t="inlineStr">
        <is>
          <t>Count</t>
        </is>
      </c>
    </row>
    <row r="110">
      <c r="A110" t="inlineStr">
        <is>
          <t>5</t>
        </is>
      </c>
      <c r="B110" t="n">
        <v>10</v>
      </c>
    </row>
    <row r="111">
      <c r="A111" t="inlineStr">
        <is>
          <t>4</t>
        </is>
      </c>
      <c r="B111" t="n">
        <v>9</v>
      </c>
    </row>
    <row r="112">
      <c r="A112" t="inlineStr">
        <is>
          <t>3</t>
        </is>
      </c>
      <c r="B112" t="n">
        <v>7</v>
      </c>
    </row>
    <row r="113">
      <c r="A113" t="inlineStr">
        <is>
          <t>2</t>
        </is>
      </c>
      <c r="B113" t="n">
        <v>5</v>
      </c>
    </row>
    <row r="114">
      <c r="A114" t="inlineStr">
        <is>
          <t>1</t>
        </is>
      </c>
      <c r="B114" t="n">
        <v>2</v>
      </c>
    </row>
    <row r="116">
      <c r="A116" t="inlineStr">
        <is>
          <t>Month</t>
        </is>
      </c>
      <c r="B116" t="inlineStr">
        <is>
          <t>Volume</t>
        </is>
      </c>
      <c r="C116" t="inlineStr">
        <is>
          <t>Avg CSAT</t>
        </is>
      </c>
    </row>
    <row r="117">
      <c r="A117" t="inlineStr">
        <is>
          <t>2024-04</t>
        </is>
      </c>
      <c r="B117" t="n">
        <v>0</v>
      </c>
      <c r="C117" t="n">
        <v>0</v>
      </c>
    </row>
    <row r="118">
      <c r="A118" t="inlineStr">
        <is>
          <t>2024-05</t>
        </is>
      </c>
      <c r="B118" t="n">
        <v>0</v>
      </c>
      <c r="C118" t="n">
        <v>0</v>
      </c>
    </row>
    <row r="119">
      <c r="A119" t="inlineStr">
        <is>
          <t>2024-06</t>
        </is>
      </c>
      <c r="B119" t="n">
        <v>0</v>
      </c>
      <c r="C119" t="n">
        <v>0</v>
      </c>
    </row>
    <row r="120">
      <c r="A120" t="inlineStr">
        <is>
          <t>2024-07</t>
        </is>
      </c>
      <c r="B120" t="n">
        <v>0</v>
      </c>
      <c r="C120" t="n">
        <v>0</v>
      </c>
    </row>
    <row r="121">
      <c r="A121" t="inlineStr">
        <is>
          <t>2024-08</t>
        </is>
      </c>
      <c r="B121" t="n">
        <v>0</v>
      </c>
      <c r="C121" t="n">
        <v>0</v>
      </c>
    </row>
    <row r="122">
      <c r="A122" t="inlineStr">
        <is>
          <t>2024-09</t>
        </is>
      </c>
      <c r="B122" t="n">
        <v>0</v>
      </c>
      <c r="C122" t="n">
        <v>0</v>
      </c>
    </row>
    <row r="123">
      <c r="A123" t="inlineStr">
        <is>
          <t>2024-10</t>
        </is>
      </c>
      <c r="B123" t="n">
        <v>0</v>
      </c>
      <c r="C123" t="n">
        <v>0</v>
      </c>
    </row>
    <row r="124">
      <c r="A124" t="inlineStr">
        <is>
          <t>2024-11</t>
        </is>
      </c>
      <c r="B124" t="n">
        <v>9</v>
      </c>
      <c r="C124" t="n">
        <v>0</v>
      </c>
    </row>
    <row r="125">
      <c r="A125" t="inlineStr">
        <is>
          <t>2024-12</t>
        </is>
      </c>
      <c r="B125" t="n">
        <v>30</v>
      </c>
      <c r="C125" t="n">
        <v>0</v>
      </c>
    </row>
    <row r="126">
      <c r="A126" t="inlineStr">
        <is>
          <t>2025-01</t>
        </is>
      </c>
      <c r="B126" t="n">
        <v>11</v>
      </c>
      <c r="C126" t="n">
        <v>0</v>
      </c>
    </row>
    <row r="127">
      <c r="A127" t="inlineStr">
        <is>
          <t>2025-02</t>
        </is>
      </c>
      <c r="B127" t="n">
        <v>0</v>
      </c>
      <c r="C127" t="n">
        <v>0</v>
      </c>
    </row>
    <row r="128">
      <c r="A128" t="inlineStr">
        <is>
          <t>2025-03</t>
        </is>
      </c>
      <c r="B128" t="n">
        <v>0</v>
      </c>
      <c r="C128" t="n">
        <v>0</v>
      </c>
    </row>
    <row r="129">
      <c r="A129" t="inlineStr">
        <is>
          <t>2025-04</t>
        </is>
      </c>
      <c r="B129" t="n">
        <v>0</v>
      </c>
      <c r="C129" t="n">
        <v>0</v>
      </c>
    </row>
    <row r="130">
      <c r="A130" t="inlineStr">
        <is>
          <t>2025-05</t>
        </is>
      </c>
      <c r="B130" t="n">
        <v>0</v>
      </c>
      <c r="C130" t="n">
        <v>0</v>
      </c>
    </row>
    <row r="131">
      <c r="A131" t="inlineStr">
        <is>
          <t>2025-06</t>
        </is>
      </c>
      <c r="B131" t="n">
        <v>0</v>
      </c>
      <c r="C131" t="n">
        <v>0</v>
      </c>
    </row>
    <row r="132">
      <c r="A132" t="inlineStr">
        <is>
          <t>2025-07</t>
        </is>
      </c>
      <c r="B132" t="n">
        <v>0</v>
      </c>
      <c r="C132" t="n">
        <v>0</v>
      </c>
    </row>
    <row r="134">
      <c r="A134" t="inlineStr">
        <is>
          <t>Request Type</t>
        </is>
      </c>
      <c r="B134" t="inlineStr">
        <is>
          <t>Min</t>
        </is>
      </c>
      <c r="C134" t="inlineStr">
        <is>
          <t>Avg</t>
        </is>
      </c>
      <c r="D134" t="inlineStr">
        <is>
          <t>Max</t>
        </is>
      </c>
    </row>
    <row r="135">
      <c r="A135" t="inlineStr">
        <is>
          <t>Access</t>
        </is>
      </c>
      <c r="B135" t="n">
        <v>6</v>
      </c>
      <c r="C135" t="n">
        <v>24.6</v>
      </c>
      <c r="D135" t="n">
        <v>60</v>
      </c>
    </row>
    <row r="136">
      <c r="A136" t="inlineStr">
        <is>
          <t>Information</t>
        </is>
      </c>
      <c r="B136" t="n">
        <v>11</v>
      </c>
      <c r="C136" t="n">
        <v>39.3</v>
      </c>
      <c r="D136" t="n">
        <v>57</v>
      </c>
    </row>
    <row r="137">
      <c r="A137" t="inlineStr">
        <is>
          <t>Provisioning</t>
        </is>
      </c>
      <c r="B137" t="n">
        <v>9</v>
      </c>
      <c r="C137" t="n">
        <v>45.9</v>
      </c>
      <c r="D137" t="n">
        <v>72</v>
      </c>
    </row>
    <row r="138">
      <c r="A138" t="inlineStr">
        <is>
          <t>Standard Change</t>
        </is>
      </c>
      <c r="B138" t="n">
        <v>11</v>
      </c>
      <c r="C138" t="n">
        <v>41.2</v>
      </c>
      <c r="D138" t="n">
        <v>61</v>
      </c>
    </row>
    <row r="140">
      <c r="A140" t="inlineStr">
        <is>
          <t>Status</t>
        </is>
      </c>
      <c r="B140" t="inlineStr">
        <is>
          <t>Count</t>
        </is>
      </c>
    </row>
    <row r="141">
      <c r="A141" t="inlineStr">
        <is>
          <t>Known Error</t>
        </is>
      </c>
      <c r="B141" t="n">
        <v>14</v>
      </c>
    </row>
    <row r="142">
      <c r="A142" t="inlineStr">
        <is>
          <t>Resolved</t>
        </is>
      </c>
      <c r="B142" t="n">
        <v>16</v>
      </c>
    </row>
    <row r="143">
      <c r="A143" t="inlineStr">
        <is>
          <t>Closed</t>
        </is>
      </c>
      <c r="B143" t="n">
        <v>8</v>
      </c>
    </row>
    <row r="144">
      <c r="A144" t="inlineStr">
        <is>
          <t>Under Investigation</t>
        </is>
      </c>
      <c r="B144" t="n">
        <v>10</v>
      </c>
    </row>
    <row r="145">
      <c r="A145" t="inlineStr">
        <is>
          <t>New</t>
        </is>
      </c>
      <c r="B145" t="n">
        <v>2</v>
      </c>
    </row>
    <row r="147">
      <c r="A147" t="inlineStr">
        <is>
          <t>Root Cause</t>
        </is>
      </c>
      <c r="B147" t="inlineStr">
        <is>
          <t>Count</t>
        </is>
      </c>
    </row>
    <row r="148">
      <c r="A148" t="inlineStr">
        <is>
          <t>RC0</t>
        </is>
      </c>
      <c r="B148" t="n">
        <v>15</v>
      </c>
    </row>
    <row r="149">
      <c r="A149" t="inlineStr">
        <is>
          <t>RC1</t>
        </is>
      </c>
      <c r="B149" t="n">
        <v>8</v>
      </c>
    </row>
    <row r="150">
      <c r="A150" t="inlineStr">
        <is>
          <t>RC2</t>
        </is>
      </c>
      <c r="B150" t="n">
        <v>11</v>
      </c>
    </row>
    <row r="151">
      <c r="A151" t="inlineStr">
        <is>
          <t>RC3</t>
        </is>
      </c>
      <c r="B151" t="n">
        <v>13</v>
      </c>
    </row>
    <row r="152">
      <c r="A152" t="inlineStr">
        <is>
          <t>RC4</t>
        </is>
      </c>
      <c r="B152" t="n">
        <v>3</v>
      </c>
    </row>
    <row r="154">
      <c r="A154" t="inlineStr">
        <is>
          <t>Month</t>
        </is>
      </c>
      <c r="B154" t="inlineStr">
        <is>
          <t>Count</t>
        </is>
      </c>
      <c r="C154" t="inlineStr">
        <is>
          <t>Cumulative</t>
        </is>
      </c>
    </row>
    <row r="155">
      <c r="A155" t="inlineStr">
        <is>
          <t>2024-04</t>
        </is>
      </c>
      <c r="B155" t="n">
        <v>0</v>
      </c>
      <c r="C155" t="n">
        <v>0</v>
      </c>
    </row>
    <row r="156">
      <c r="A156" t="inlineStr">
        <is>
          <t>2024-05</t>
        </is>
      </c>
      <c r="B156" t="n">
        <v>0</v>
      </c>
      <c r="C156" t="n">
        <v>0</v>
      </c>
    </row>
    <row r="157">
      <c r="A157" t="inlineStr">
        <is>
          <t>2024-06</t>
        </is>
      </c>
      <c r="B157" t="n">
        <v>0</v>
      </c>
      <c r="C157" t="n">
        <v>0</v>
      </c>
    </row>
    <row r="158">
      <c r="A158" t="inlineStr">
        <is>
          <t>2024-07</t>
        </is>
      </c>
      <c r="B158" t="n">
        <v>0</v>
      </c>
      <c r="C158" t="n">
        <v>0</v>
      </c>
    </row>
    <row r="159">
      <c r="A159" t="inlineStr">
        <is>
          <t>2024-08</t>
        </is>
      </c>
      <c r="B159" t="n">
        <v>0</v>
      </c>
      <c r="C159" t="n">
        <v>0</v>
      </c>
    </row>
    <row r="160">
      <c r="A160" t="inlineStr">
        <is>
          <t>2024-09</t>
        </is>
      </c>
      <c r="B160" t="n">
        <v>0</v>
      </c>
      <c r="C160" t="n">
        <v>0</v>
      </c>
    </row>
    <row r="161">
      <c r="A161" t="inlineStr">
        <is>
          <t>2024-10</t>
        </is>
      </c>
      <c r="B161" t="n">
        <v>0</v>
      </c>
      <c r="C161" t="n">
        <v>0</v>
      </c>
    </row>
    <row r="162">
      <c r="A162" t="inlineStr">
        <is>
          <t>2024-11</t>
        </is>
      </c>
      <c r="B162" t="n">
        <v>11</v>
      </c>
      <c r="C162" t="n">
        <v>11</v>
      </c>
    </row>
    <row r="163">
      <c r="A163" t="inlineStr">
        <is>
          <t>2024-12</t>
        </is>
      </c>
      <c r="B163" t="n">
        <v>28</v>
      </c>
      <c r="C163" t="n">
        <v>39</v>
      </c>
    </row>
    <row r="164">
      <c r="A164" t="inlineStr">
        <is>
          <t>2025-01</t>
        </is>
      </c>
      <c r="B164" t="n">
        <v>11</v>
      </c>
      <c r="C164" t="n">
        <v>50</v>
      </c>
    </row>
    <row r="165">
      <c r="A165" t="inlineStr">
        <is>
          <t>2025-02</t>
        </is>
      </c>
      <c r="B165" t="n">
        <v>0</v>
      </c>
      <c r="C165" t="n">
        <v>50</v>
      </c>
    </row>
    <row r="166">
      <c r="A166" t="inlineStr">
        <is>
          <t>2025-03</t>
        </is>
      </c>
      <c r="B166" t="n">
        <v>0</v>
      </c>
      <c r="C166" t="n">
        <v>50</v>
      </c>
    </row>
    <row r="167">
      <c r="A167" t="inlineStr">
        <is>
          <t>2025-04</t>
        </is>
      </c>
      <c r="B167" t="n">
        <v>0</v>
      </c>
      <c r="C167" t="n">
        <v>50</v>
      </c>
    </row>
    <row r="168">
      <c r="A168" t="inlineStr">
        <is>
          <t>2025-05</t>
        </is>
      </c>
      <c r="B168" t="n">
        <v>0</v>
      </c>
      <c r="C168" t="n">
        <v>50</v>
      </c>
    </row>
    <row r="169">
      <c r="A169" t="inlineStr">
        <is>
          <t>2025-06</t>
        </is>
      </c>
      <c r="B169" t="n">
        <v>0</v>
      </c>
      <c r="C169" t="n">
        <v>50</v>
      </c>
    </row>
    <row r="170">
      <c r="A170" t="inlineStr">
        <is>
          <t>2025-07</t>
        </is>
      </c>
      <c r="B170" t="n">
        <v>0</v>
      </c>
      <c r="C170" t="n">
        <v>50</v>
      </c>
    </row>
    <row r="172">
      <c r="A172" t="inlineStr">
        <is>
          <t>Flow</t>
        </is>
      </c>
      <c r="B172" t="inlineStr">
        <is>
          <t>Count</t>
        </is>
      </c>
    </row>
    <row r="173">
      <c r="A173" t="inlineStr">
        <is>
          <t>Changes→Incidents</t>
        </is>
      </c>
      <c r="B173" t="n">
        <v>9</v>
      </c>
    </row>
    <row r="175">
      <c r="A175" t="inlineStr">
        <is>
          <t>Person</t>
        </is>
      </c>
      <c r="B175" t="inlineStr">
        <is>
          <t>Count</t>
        </is>
      </c>
    </row>
    <row r="176">
      <c r="A176" t="inlineStr">
        <is>
          <t>Jessica Smith</t>
        </is>
      </c>
      <c r="B176" t="n">
        <v>414</v>
      </c>
    </row>
    <row r="177">
      <c r="A177" t="inlineStr">
        <is>
          <t>Richard Smith</t>
        </is>
      </c>
      <c r="B177" t="n">
        <v>395</v>
      </c>
    </row>
    <row r="178">
      <c r="A178" t="inlineStr">
        <is>
          <t>Joseph Smith</t>
        </is>
      </c>
      <c r="B178" t="n">
        <v>393</v>
      </c>
    </row>
    <row r="179">
      <c r="A179" t="inlineStr">
        <is>
          <t>Thomas Smith</t>
        </is>
      </c>
      <c r="B179" t="n">
        <v>389</v>
      </c>
    </row>
    <row r="180">
      <c r="A180" t="inlineStr">
        <is>
          <t>Michael Smith</t>
        </is>
      </c>
      <c r="B180" t="n">
        <v>385</v>
      </c>
    </row>
    <row r="181">
      <c r="A181" t="inlineStr">
        <is>
          <t>James Smith</t>
        </is>
      </c>
      <c r="B181" t="n">
        <v>385</v>
      </c>
    </row>
    <row r="182">
      <c r="A182" t="inlineStr">
        <is>
          <t>Christopher Smith</t>
        </is>
      </c>
      <c r="B182" t="n">
        <v>384</v>
      </c>
    </row>
    <row r="183">
      <c r="A183" t="inlineStr">
        <is>
          <t>Elizabeth Smith</t>
        </is>
      </c>
      <c r="B183" t="n">
        <v>381</v>
      </c>
    </row>
    <row r="184">
      <c r="A184" t="inlineStr">
        <is>
          <t>Charles Smith</t>
        </is>
      </c>
      <c r="B184" t="n">
        <v>381</v>
      </c>
    </row>
    <row r="185">
      <c r="A185" t="inlineStr">
        <is>
          <t>Nancy Smith</t>
        </is>
      </c>
      <c r="B185" t="n">
        <v>380</v>
      </c>
    </row>
    <row r="187">
      <c r="A187" t="inlineStr">
        <is>
          <t>Month</t>
        </is>
      </c>
      <c r="B187" t="inlineStr">
        <is>
          <t>Incidents</t>
        </is>
      </c>
      <c r="C187" t="inlineStr">
        <is>
          <t>Changes</t>
        </is>
      </c>
      <c r="D187" t="inlineStr">
        <is>
          <t>Requests</t>
        </is>
      </c>
      <c r="E187" t="inlineStr">
        <is>
          <t>Problems</t>
        </is>
      </c>
    </row>
    <row r="188">
      <c r="A188" t="inlineStr">
        <is>
          <t>2024-04</t>
        </is>
      </c>
      <c r="B188" t="n">
        <v>195</v>
      </c>
      <c r="C188" t="n">
        <v>0</v>
      </c>
      <c r="D188" t="n">
        <v>0</v>
      </c>
      <c r="E188" t="n">
        <v>0</v>
      </c>
    </row>
    <row r="189">
      <c r="A189" t="inlineStr">
        <is>
          <t>2024-05</t>
        </is>
      </c>
      <c r="B189" t="n">
        <v>725</v>
      </c>
      <c r="C189" t="n">
        <v>0</v>
      </c>
      <c r="D189" t="n">
        <v>0</v>
      </c>
      <c r="E189" t="n">
        <v>0</v>
      </c>
    </row>
    <row r="190">
      <c r="A190" t="inlineStr">
        <is>
          <t>2024-06</t>
        </is>
      </c>
      <c r="B190" t="n">
        <v>924</v>
      </c>
      <c r="C190" t="n">
        <v>0</v>
      </c>
      <c r="D190" t="n">
        <v>0</v>
      </c>
      <c r="E190" t="n">
        <v>0</v>
      </c>
    </row>
    <row r="191">
      <c r="A191" t="inlineStr">
        <is>
          <t>2024-07</t>
        </is>
      </c>
      <c r="B191" t="n">
        <v>1007</v>
      </c>
      <c r="C191" t="n">
        <v>0</v>
      </c>
      <c r="D191" t="n">
        <v>0</v>
      </c>
      <c r="E191" t="n">
        <v>0</v>
      </c>
    </row>
    <row r="192">
      <c r="A192" t="inlineStr">
        <is>
          <t>2024-08</t>
        </is>
      </c>
      <c r="B192" t="n">
        <v>712</v>
      </c>
      <c r="C192" t="n">
        <v>0</v>
      </c>
      <c r="D192" t="n">
        <v>0</v>
      </c>
      <c r="E192" t="n">
        <v>0</v>
      </c>
    </row>
    <row r="193">
      <c r="A193" t="inlineStr">
        <is>
          <t>2024-09</t>
        </is>
      </c>
      <c r="B193" t="n">
        <v>621</v>
      </c>
      <c r="C193" t="n">
        <v>0</v>
      </c>
      <c r="D193" t="n">
        <v>0</v>
      </c>
      <c r="E193" t="n">
        <v>0</v>
      </c>
    </row>
    <row r="194">
      <c r="A194" t="inlineStr">
        <is>
          <t>2024-10</t>
        </is>
      </c>
      <c r="B194" t="n">
        <v>542</v>
      </c>
      <c r="C194" t="n">
        <v>0</v>
      </c>
      <c r="D194" t="n">
        <v>0</v>
      </c>
      <c r="E194" t="n">
        <v>0</v>
      </c>
    </row>
    <row r="195">
      <c r="A195" t="inlineStr">
        <is>
          <t>2024-11</t>
        </is>
      </c>
      <c r="B195" t="n">
        <v>441</v>
      </c>
      <c r="C195" t="n">
        <v>7</v>
      </c>
      <c r="D195" t="n">
        <v>9</v>
      </c>
      <c r="E195" t="n">
        <v>11</v>
      </c>
    </row>
    <row r="196">
      <c r="A196" t="inlineStr">
        <is>
          <t>2024-12</t>
        </is>
      </c>
      <c r="B196" t="n">
        <v>432</v>
      </c>
      <c r="C196" t="n">
        <v>32</v>
      </c>
      <c r="D196" t="n">
        <v>30</v>
      </c>
      <c r="E196" t="n">
        <v>28</v>
      </c>
    </row>
    <row r="197">
      <c r="A197" t="inlineStr">
        <is>
          <t>2025-01</t>
        </is>
      </c>
      <c r="B197" t="n">
        <v>511</v>
      </c>
      <c r="C197" t="n">
        <v>11</v>
      </c>
      <c r="D197" t="n">
        <v>11</v>
      </c>
      <c r="E197" t="n">
        <v>11</v>
      </c>
    </row>
    <row r="198">
      <c r="A198" t="inlineStr">
        <is>
          <t>2025-02</t>
        </is>
      </c>
      <c r="B198" t="n">
        <v>410</v>
      </c>
      <c r="C198" t="n">
        <v>0</v>
      </c>
      <c r="D198" t="n">
        <v>0</v>
      </c>
      <c r="E198" t="n">
        <v>0</v>
      </c>
    </row>
    <row r="199">
      <c r="A199" t="inlineStr">
        <is>
          <t>2025-03</t>
        </is>
      </c>
      <c r="B199" t="n">
        <v>599</v>
      </c>
      <c r="C199" t="n">
        <v>0</v>
      </c>
      <c r="D199" t="n">
        <v>0</v>
      </c>
      <c r="E199" t="n">
        <v>0</v>
      </c>
    </row>
    <row r="200">
      <c r="A200" t="inlineStr">
        <is>
          <t>2025-04</t>
        </is>
      </c>
      <c r="B200" t="n">
        <v>491</v>
      </c>
      <c r="C200" t="n">
        <v>0</v>
      </c>
      <c r="D200" t="n">
        <v>0</v>
      </c>
      <c r="E200" t="n">
        <v>0</v>
      </c>
    </row>
    <row r="201">
      <c r="A201" t="inlineStr">
        <is>
          <t>2025-05</t>
        </is>
      </c>
      <c r="B201" t="n">
        <v>652</v>
      </c>
      <c r="C201" t="n">
        <v>0</v>
      </c>
      <c r="D201" t="n">
        <v>0</v>
      </c>
      <c r="E201" t="n">
        <v>0</v>
      </c>
    </row>
    <row r="202">
      <c r="A202" t="inlineStr">
        <is>
          <t>2025-06</t>
        </is>
      </c>
      <c r="B202" t="n">
        <v>641</v>
      </c>
      <c r="C202" t="n">
        <v>0</v>
      </c>
      <c r="D202" t="n">
        <v>0</v>
      </c>
      <c r="E202" t="n">
        <v>0</v>
      </c>
    </row>
    <row r="203">
      <c r="A203" t="inlineStr">
        <is>
          <t>2025-07</t>
        </is>
      </c>
      <c r="B203" t="n">
        <v>74</v>
      </c>
      <c r="C203" t="n">
        <v>0</v>
      </c>
      <c r="D203" t="n">
        <v>0</v>
      </c>
      <c r="E203" t="n">
        <v>0</v>
      </c>
    </row>
    <row r="205">
      <c r="A205" t="inlineStr">
        <is>
          <t>Day</t>
        </is>
      </c>
      <c r="B205" t="inlineStr">
        <is>
          <t>Count</t>
        </is>
      </c>
    </row>
    <row r="206">
      <c r="A206" t="inlineStr">
        <is>
          <t>Monday</t>
        </is>
      </c>
      <c r="B206" t="n">
        <v>1506</v>
      </c>
    </row>
    <row r="207">
      <c r="A207" t="inlineStr">
        <is>
          <t>Tuesday</t>
        </is>
      </c>
      <c r="B207" t="n">
        <v>1334</v>
      </c>
    </row>
    <row r="208">
      <c r="A208" t="inlineStr">
        <is>
          <t>Wednesday</t>
        </is>
      </c>
      <c r="B208" t="n">
        <v>1436</v>
      </c>
    </row>
    <row r="209">
      <c r="A209" t="inlineStr">
        <is>
          <t>Thursday</t>
        </is>
      </c>
      <c r="B209" t="n">
        <v>1321</v>
      </c>
    </row>
    <row r="210">
      <c r="A210" t="inlineStr">
        <is>
          <t>Friday</t>
        </is>
      </c>
      <c r="B210" t="n">
        <v>1270</v>
      </c>
    </row>
    <row r="211">
      <c r="A211" t="inlineStr">
        <is>
          <t>Saturday</t>
        </is>
      </c>
      <c r="B211" t="n">
        <v>1040</v>
      </c>
    </row>
    <row r="212">
      <c r="A212" t="inlineStr">
        <is>
          <t>Sunday</t>
        </is>
      </c>
      <c r="B212" t="n">
        <v>1070</v>
      </c>
    </row>
    <row r="214">
      <c r="A214" t="inlineStr">
        <is>
          <t>Priority</t>
        </is>
      </c>
      <c r="B214" t="inlineStr">
        <is>
          <t>Count</t>
        </is>
      </c>
    </row>
    <row r="215">
      <c r="A215" t="inlineStr">
        <is>
          <t>URGENT</t>
        </is>
      </c>
      <c r="B215" t="n">
        <v>2</v>
      </c>
    </row>
    <row r="216">
      <c r="A216" t="inlineStr">
        <is>
          <t>HIGH</t>
        </is>
      </c>
      <c r="B216" t="n">
        <v>1</v>
      </c>
    </row>
    <row r="217">
      <c r="A217" t="inlineStr">
        <is>
          <t>MEDIUM</t>
        </is>
      </c>
      <c r="B217" t="n">
        <v>2</v>
      </c>
    </row>
    <row r="219">
      <c r="A219" t="inlineStr">
        <is>
          <t>Process</t>
        </is>
      </c>
      <c r="B219" t="inlineStr">
        <is>
          <t>Count</t>
        </is>
      </c>
    </row>
    <row r="220">
      <c r="A220" t="inlineStr">
        <is>
          <t>incident</t>
        </is>
      </c>
      <c r="B220" t="n">
        <v>2</v>
      </c>
    </row>
    <row r="221">
      <c r="A221" t="inlineStr">
        <is>
          <t>change</t>
        </is>
      </c>
      <c r="B221" t="n">
        <v>2</v>
      </c>
    </row>
    <row r="222">
      <c r="A222" t="inlineStr">
        <is>
          <t>request</t>
        </is>
      </c>
      <c r="B222" t="n">
        <v>1</v>
      </c>
    </row>
  </sheetData>
  <pageMargins left="0.75" right="0.75" top="1" bottom="1" header="0.5" footer="0.5"/>
  <pageSetup orientation="landscape" fitToHeight="0" fitToWidth="1"/>
</worksheet>
</file>

<file path=xl/worksheets/sheet3.xml><?xml version="1.0" encoding="utf-8"?>
<worksheet xmlns="http://schemas.openxmlformats.org/spreadsheetml/2006/main">
  <sheetPr>
    <tabColor rgb="003b82f6"/>
    <outlinePr summaryBelow="1" summaryRight="1"/>
    <pageSetUpPr fitToPage="1"/>
  </sheetPr>
  <dimension ref="A1:K136"/>
  <sheetViews>
    <sheetView workbookViewId="0">
      <selection activeCell="A1" sqref="A1"/>
    </sheetView>
  </sheetViews>
  <sheetFormatPr baseColWidth="8" defaultRowHeight="15"/>
  <cols>
    <col width="32" customWidth="1" min="1" max="1"/>
    <col width="10" customWidth="1" min="2" max="2"/>
    <col width="10" customWidth="1" min="3" max="3"/>
    <col width="10" customWidth="1" min="4" max="4"/>
    <col width="15" customWidth="1" min="5" max="5"/>
    <col width="10" customWidth="1" min="6" max="6"/>
    <col width="11" customWidth="1" min="7" max="7"/>
    <col width="10" customWidth="1" min="8" max="8"/>
    <col width="12" customWidth="1" min="9" max="9"/>
    <col width="11" customWidth="1" min="10" max="10"/>
    <col width="14" customWidth="1" min="11" max="11"/>
  </cols>
  <sheetData>
    <row r="1" ht="36" customHeight="1">
      <c r="A1" s="1" t="inlineStr">
        <is>
          <t>INC_Analysis</t>
        </is>
      </c>
    </row>
    <row r="2" ht="22" customHeight="1">
      <c r="A2" s="2" t="inlineStr">
        <is>
          <t>2024-04-19 — 2025-07-06</t>
        </is>
      </c>
    </row>
    <row r="3" ht="10" customHeight="1"/>
    <row r="4" ht="26" customHeight="1">
      <c r="A4" s="3" t="inlineStr">
        <is>
          <t>Data Tables</t>
        </is>
      </c>
    </row>
    <row r="5" ht="26" customHeight="1">
      <c r="A5" s="3" t="inlineStr">
        <is>
          <t>Priority Breakdown</t>
        </is>
      </c>
    </row>
    <row r="6" ht="20" customHeight="1">
      <c r="A6" s="4" t="inlineStr">
        <is>
          <t>Priority</t>
        </is>
      </c>
      <c r="B6" s="4" t="inlineStr">
        <is>
          <t>Count</t>
        </is>
      </c>
      <c r="C6" s="4" t="inlineStr">
        <is>
          <t>%</t>
        </is>
      </c>
      <c r="D6" s="4" t="inlineStr">
        <is>
          <t>Cum%</t>
        </is>
      </c>
      <c r="E6" s="4" t="inlineStr">
        <is>
          <t>Avg Resolve</t>
        </is>
      </c>
      <c r="F6" s="4" t="inlineStr">
        <is>
          <t>Median</t>
        </is>
      </c>
      <c r="G6" s="4" t="inlineStr">
        <is>
          <t>Min</t>
        </is>
      </c>
      <c r="H6" s="4" t="inlineStr">
        <is>
          <t>Max</t>
        </is>
      </c>
      <c r="I6" s="4" t="inlineStr">
        <is>
          <t>Resp SLA</t>
        </is>
      </c>
      <c r="J6" s="4" t="inlineStr">
        <is>
          <t>Res SLA</t>
        </is>
      </c>
      <c r="K6" s="4" t="inlineStr">
        <is>
          <t>Violations</t>
        </is>
      </c>
    </row>
    <row r="7" ht="18" customHeight="1">
      <c r="A7" s="5" t="inlineStr">
        <is>
          <t>P4</t>
        </is>
      </c>
      <c r="B7" s="13" t="n">
        <v>4042</v>
      </c>
      <c r="C7" s="5" t="inlineStr">
        <is>
          <t>45.0%</t>
        </is>
      </c>
      <c r="D7" s="5" t="inlineStr">
        <is>
          <t>45.0%</t>
        </is>
      </c>
      <c r="E7" s="5" t="inlineStr">
        <is>
          <t>29.1h</t>
        </is>
      </c>
      <c r="F7" s="5" t="inlineStr">
        <is>
          <t>25.1h</t>
        </is>
      </c>
      <c r="G7" s="5" t="inlineStr">
        <is>
          <t>0.0min</t>
        </is>
      </c>
      <c r="H7" s="5" t="inlineStr">
        <is>
          <t>377.7d</t>
        </is>
      </c>
      <c r="I7" s="5" t="inlineStr">
        <is>
          <t>100.0%</t>
        </is>
      </c>
      <c r="J7" s="5" t="inlineStr">
        <is>
          <t>99.7%</t>
        </is>
      </c>
      <c r="K7" s="13" t="n">
        <v>13</v>
      </c>
    </row>
    <row r="8" ht="18" customHeight="1">
      <c r="A8" s="6" t="inlineStr">
        <is>
          <t>P1</t>
        </is>
      </c>
      <c r="B8" s="14" t="n">
        <v>448</v>
      </c>
      <c r="C8" s="6" t="inlineStr">
        <is>
          <t>5.0%</t>
        </is>
      </c>
      <c r="D8" s="6" t="inlineStr">
        <is>
          <t>50.0%</t>
        </is>
      </c>
      <c r="E8" s="6" t="inlineStr">
        <is>
          <t>47.2h</t>
        </is>
      </c>
      <c r="F8" s="6" t="inlineStr">
        <is>
          <t>25.6h</t>
        </is>
      </c>
      <c r="G8" s="6" t="inlineStr">
        <is>
          <t>0.0min</t>
        </is>
      </c>
      <c r="H8" s="6" t="inlineStr">
        <is>
          <t>394.1d</t>
        </is>
      </c>
      <c r="I8" s="6" t="inlineStr">
        <is>
          <t>92.3%</t>
        </is>
      </c>
      <c r="J8" s="6" t="inlineStr">
        <is>
          <t>6.9%</t>
        </is>
      </c>
      <c r="K8" s="14" t="n">
        <v>417</v>
      </c>
    </row>
    <row r="9" ht="18" customHeight="1">
      <c r="A9" s="5" t="inlineStr">
        <is>
          <t>P3</t>
        </is>
      </c>
      <c r="B9" s="13" t="n">
        <v>3141</v>
      </c>
      <c r="C9" s="5" t="inlineStr">
        <is>
          <t>35.0%</t>
        </is>
      </c>
      <c r="D9" s="5" t="inlineStr">
        <is>
          <t>85.0%</t>
        </is>
      </c>
      <c r="E9" s="5" t="inlineStr">
        <is>
          <t>25.1h</t>
        </is>
      </c>
      <c r="F9" s="5" t="inlineStr">
        <is>
          <t>24.9h</t>
        </is>
      </c>
      <c r="G9" s="5" t="inlineStr">
        <is>
          <t>0.0min</t>
        </is>
      </c>
      <c r="H9" s="5" t="inlineStr">
        <is>
          <t>44.8d</t>
        </is>
      </c>
      <c r="I9" s="5" t="inlineStr">
        <is>
          <t>99.5%</t>
        </is>
      </c>
      <c r="J9" s="5" t="inlineStr">
        <is>
          <t>47.6%</t>
        </is>
      </c>
      <c r="K9" s="13" t="n">
        <v>1646</v>
      </c>
    </row>
    <row r="10" ht="18" customHeight="1">
      <c r="A10" s="6" t="inlineStr">
        <is>
          <t>P2</t>
        </is>
      </c>
      <c r="B10" s="14" t="n">
        <v>1346</v>
      </c>
      <c r="C10" s="6" t="inlineStr">
        <is>
          <t>15.0%</t>
        </is>
      </c>
      <c r="D10" s="6" t="inlineStr">
        <is>
          <t>100.0%</t>
        </is>
      </c>
      <c r="E10" s="6" t="inlineStr">
        <is>
          <t>34.0h</t>
        </is>
      </c>
      <c r="F10" s="6" t="inlineStr">
        <is>
          <t>25.5h</t>
        </is>
      </c>
      <c r="G10" s="6" t="inlineStr">
        <is>
          <t>0.0min</t>
        </is>
      </c>
      <c r="H10" s="6" t="inlineStr">
        <is>
          <t>398.8d</t>
        </is>
      </c>
      <c r="I10" s="6" t="inlineStr">
        <is>
          <t>98.1%</t>
        </is>
      </c>
      <c r="J10" s="6" t="inlineStr">
        <is>
          <t>15.5%</t>
        </is>
      </c>
      <c r="K10" s="14" t="n">
        <v>1138</v>
      </c>
    </row>
    <row r="11" ht="10" customHeight="1"/>
    <row r="12" ht="26" customHeight="1">
      <c r="A12" s="3" t="inlineStr">
        <is>
          <t>Category Breakdown</t>
        </is>
      </c>
    </row>
    <row r="13" ht="20" customHeight="1">
      <c r="A13" s="4" t="inlineStr">
        <is>
          <t>Category</t>
        </is>
      </c>
      <c r="B13" s="4" t="inlineStr">
        <is>
          <t>Count</t>
        </is>
      </c>
      <c r="C13" s="4" t="inlineStr">
        <is>
          <t>%</t>
        </is>
      </c>
      <c r="D13" s="4" t="inlineStr">
        <is>
          <t>Cum%</t>
        </is>
      </c>
      <c r="E13" s="4" t="inlineStr">
        <is>
          <t>Avg Resolve</t>
        </is>
      </c>
      <c r="F13" s="4" t="inlineStr">
        <is>
          <t>Median</t>
        </is>
      </c>
      <c r="G13" s="4" t="inlineStr">
        <is>
          <t>Std Dev</t>
        </is>
      </c>
    </row>
    <row r="14" ht="18" customHeight="1">
      <c r="A14" s="5" t="inlineStr">
        <is>
          <t>Digital View Monitoring</t>
        </is>
      </c>
      <c r="B14" s="13" t="n">
        <v>3936</v>
      </c>
      <c r="C14" s="5" t="inlineStr">
        <is>
          <t>43.8%</t>
        </is>
      </c>
      <c r="D14" s="5" t="inlineStr">
        <is>
          <t>43.8%</t>
        </is>
      </c>
      <c r="E14" s="5" t="inlineStr">
        <is>
          <t>25.4h</t>
        </is>
      </c>
      <c r="F14" s="5" t="inlineStr">
        <is>
          <t>26.5h</t>
        </is>
      </c>
      <c r="G14" s="5" t="inlineStr">
        <is>
          <t>17.0h</t>
        </is>
      </c>
    </row>
    <row r="15" ht="18" customHeight="1">
      <c r="A15" s="6" t="inlineStr">
        <is>
          <t>International Money Transfer</t>
        </is>
      </c>
      <c r="B15" s="14" t="n">
        <v>809</v>
      </c>
      <c r="C15" s="6" t="inlineStr">
        <is>
          <t>9.0%</t>
        </is>
      </c>
      <c r="D15" s="6" t="inlineStr">
        <is>
          <t>52.9%</t>
        </is>
      </c>
      <c r="E15" s="6" t="inlineStr">
        <is>
          <t>24.1h</t>
        </is>
      </c>
      <c r="F15" s="6" t="inlineStr">
        <is>
          <t>22.3h</t>
        </is>
      </c>
      <c r="G15" s="6" t="inlineStr">
        <is>
          <t>41.9h</t>
        </is>
      </c>
    </row>
    <row r="16" ht="18" customHeight="1">
      <c r="A16" s="5" t="inlineStr">
        <is>
          <t>Card</t>
        </is>
      </c>
      <c r="B16" s="13" t="n">
        <v>790</v>
      </c>
      <c r="C16" s="5" t="inlineStr">
        <is>
          <t>8.8%</t>
        </is>
      </c>
      <c r="D16" s="5" t="inlineStr">
        <is>
          <t>61.7%</t>
        </is>
      </c>
      <c r="E16" s="5" t="inlineStr">
        <is>
          <t>27.4h</t>
        </is>
      </c>
      <c r="F16" s="5" t="inlineStr">
        <is>
          <t>25.2h</t>
        </is>
      </c>
      <c r="G16" s="5" t="inlineStr">
        <is>
          <t>41.7h</t>
        </is>
      </c>
    </row>
    <row r="17" ht="18" customHeight="1">
      <c r="A17" s="6" t="inlineStr">
        <is>
          <t>Onboarding</t>
        </is>
      </c>
      <c r="B17" s="14" t="n">
        <v>706</v>
      </c>
      <c r="C17" s="6" t="inlineStr">
        <is>
          <t>7.9%</t>
        </is>
      </c>
      <c r="D17" s="6" t="inlineStr">
        <is>
          <t>69.5%</t>
        </is>
      </c>
      <c r="E17" s="6" t="inlineStr">
        <is>
          <t>21.4h</t>
        </is>
      </c>
      <c r="F17" s="6" t="inlineStr">
        <is>
          <t>20.1h</t>
        </is>
      </c>
      <c r="G17" s="6" t="inlineStr">
        <is>
          <t>37.8h</t>
        </is>
      </c>
    </row>
    <row r="18" ht="18" customHeight="1">
      <c r="A18" s="5" t="inlineStr">
        <is>
          <t>Other</t>
        </is>
      </c>
      <c r="B18" s="13" t="n">
        <v>656</v>
      </c>
      <c r="C18" s="5" t="inlineStr">
        <is>
          <t>7.3%</t>
        </is>
      </c>
      <c r="D18" s="5" t="inlineStr">
        <is>
          <t>76.8%</t>
        </is>
      </c>
      <c r="E18" s="5" t="inlineStr">
        <is>
          <t>44.8h</t>
        </is>
      </c>
      <c r="F18" s="5" t="inlineStr">
        <is>
          <t>33.8h</t>
        </is>
      </c>
      <c r="G18" s="5" t="inlineStr">
        <is>
          <t>14.7d</t>
        </is>
      </c>
    </row>
    <row r="19" ht="18" customHeight="1">
      <c r="A19" s="6" t="inlineStr">
        <is>
          <t>Cash In</t>
        </is>
      </c>
      <c r="B19" s="14" t="n">
        <v>411</v>
      </c>
      <c r="C19" s="6" t="inlineStr">
        <is>
          <t>4.6%</t>
        </is>
      </c>
      <c r="D19" s="6" t="inlineStr">
        <is>
          <t>81.4%</t>
        </is>
      </c>
      <c r="E19" s="6" t="inlineStr">
        <is>
          <t>22.5h</t>
        </is>
      </c>
      <c r="F19" s="6" t="inlineStr">
        <is>
          <t>18.3h</t>
        </is>
      </c>
      <c r="G19" s="6" t="inlineStr">
        <is>
          <t>3.3d</t>
        </is>
      </c>
    </row>
    <row r="20" ht="18" customHeight="1">
      <c r="A20" s="5" t="inlineStr">
        <is>
          <t>Outward Fund transfer</t>
        </is>
      </c>
      <c r="B20" s="13" t="n">
        <v>320</v>
      </c>
      <c r="C20" s="5" t="inlineStr">
        <is>
          <t>3.6%</t>
        </is>
      </c>
      <c r="D20" s="5" t="inlineStr">
        <is>
          <t>85.0%</t>
        </is>
      </c>
      <c r="E20" s="5" t="inlineStr">
        <is>
          <t>22.2h</t>
        </is>
      </c>
      <c r="F20" s="5" t="inlineStr">
        <is>
          <t>22.2h</t>
        </is>
      </c>
      <c r="G20" s="5" t="inlineStr">
        <is>
          <t>14.3h</t>
        </is>
      </c>
    </row>
    <row r="21" ht="18" customHeight="1">
      <c r="A21" s="6" t="inlineStr">
        <is>
          <t>Cardless Cash Out</t>
        </is>
      </c>
      <c r="B21" s="14" t="n">
        <v>311</v>
      </c>
      <c r="C21" s="6" t="inlineStr">
        <is>
          <t>3.5%</t>
        </is>
      </c>
      <c r="D21" s="6" t="inlineStr">
        <is>
          <t>88.4%</t>
        </is>
      </c>
      <c r="E21" s="6" t="inlineStr">
        <is>
          <t>19.2h</t>
        </is>
      </c>
      <c r="F21" s="6" t="inlineStr">
        <is>
          <t>20.9h</t>
        </is>
      </c>
      <c r="G21" s="6" t="inlineStr">
        <is>
          <t>12.4h</t>
        </is>
      </c>
    </row>
    <row r="22" ht="18" customHeight="1">
      <c r="A22" s="5" t="inlineStr">
        <is>
          <t>Account Management</t>
        </is>
      </c>
      <c r="B22" s="13" t="n">
        <v>266</v>
      </c>
      <c r="C22" s="5" t="inlineStr">
        <is>
          <t>3.0%</t>
        </is>
      </c>
      <c r="D22" s="5" t="inlineStr">
        <is>
          <t>91.4%</t>
        </is>
      </c>
      <c r="E22" s="5" t="inlineStr">
        <is>
          <t>28.8h</t>
        </is>
      </c>
      <c r="F22" s="5" t="inlineStr">
        <is>
          <t>25.8h</t>
        </is>
      </c>
      <c r="G22" s="5" t="inlineStr">
        <is>
          <t>30.3h</t>
        </is>
      </c>
    </row>
    <row r="23" ht="18" customHeight="1">
      <c r="A23" s="6" t="inlineStr">
        <is>
          <t>Compliance</t>
        </is>
      </c>
      <c r="B23" s="14" t="n">
        <v>220</v>
      </c>
      <c r="C23" s="6" t="inlineStr">
        <is>
          <t>2.5%</t>
        </is>
      </c>
      <c r="D23" s="6" t="inlineStr">
        <is>
          <t>93.9%</t>
        </is>
      </c>
      <c r="E23" s="6" t="inlineStr">
        <is>
          <t>2.8d</t>
        </is>
      </c>
      <c r="F23" s="6" t="inlineStr">
        <is>
          <t>23.9h</t>
        </is>
      </c>
      <c r="G23" s="6" t="inlineStr">
        <is>
          <t>23.7d</t>
        </is>
      </c>
    </row>
    <row r="24" ht="18" customHeight="1">
      <c r="A24" s="5" t="inlineStr">
        <is>
          <t>Infra</t>
        </is>
      </c>
      <c r="B24" s="13" t="n">
        <v>215</v>
      </c>
      <c r="C24" s="5" t="inlineStr">
        <is>
          <t>2.4%</t>
        </is>
      </c>
      <c r="D24" s="5" t="inlineStr">
        <is>
          <t>96.2%</t>
        </is>
      </c>
      <c r="E24" s="5" t="inlineStr">
        <is>
          <t>2.9d</t>
        </is>
      </c>
      <c r="F24" s="5" t="inlineStr">
        <is>
          <t>26.2h</t>
        </is>
      </c>
      <c r="G24" s="5" t="inlineStr">
        <is>
          <t>27.1d</t>
        </is>
      </c>
    </row>
    <row r="25" ht="18" customHeight="1">
      <c r="A25" s="6" t="inlineStr">
        <is>
          <t>P2P Transfer</t>
        </is>
      </c>
      <c r="B25" s="14" t="n">
        <v>83</v>
      </c>
      <c r="C25" s="6" t="inlineStr">
        <is>
          <t>0.9%</t>
        </is>
      </c>
      <c r="D25" s="6" t="inlineStr">
        <is>
          <t>97.2%</t>
        </is>
      </c>
      <c r="E25" s="6" t="inlineStr">
        <is>
          <t>19.6h</t>
        </is>
      </c>
      <c r="F25" s="6" t="inlineStr">
        <is>
          <t>22.3h</t>
        </is>
      </c>
      <c r="G25" s="6" t="inlineStr">
        <is>
          <t>14.3h</t>
        </is>
      </c>
    </row>
    <row r="26" ht="18" customHeight="1">
      <c r="A26" s="5" t="inlineStr">
        <is>
          <t>Bill Payment</t>
        </is>
      </c>
      <c r="B26" s="13" t="n">
        <v>75</v>
      </c>
      <c r="C26" s="5" t="inlineStr">
        <is>
          <t>0.8%</t>
        </is>
      </c>
      <c r="D26" s="5" t="inlineStr">
        <is>
          <t>98.0%</t>
        </is>
      </c>
      <c r="E26" s="5" t="inlineStr">
        <is>
          <t>22.9h</t>
        </is>
      </c>
      <c r="F26" s="5" t="inlineStr">
        <is>
          <t>23.3h</t>
        </is>
      </c>
      <c r="G26" s="5" t="inlineStr">
        <is>
          <t>14.4h</t>
        </is>
      </c>
    </row>
    <row r="27" ht="18" customHeight="1">
      <c r="A27" s="6" t="inlineStr">
        <is>
          <t>Cash Out</t>
        </is>
      </c>
      <c r="B27" s="14" t="n">
        <v>62</v>
      </c>
      <c r="C27" s="6" t="inlineStr">
        <is>
          <t>0.7%</t>
        </is>
      </c>
      <c r="D27" s="6" t="inlineStr">
        <is>
          <t>98.7%</t>
        </is>
      </c>
      <c r="E27" s="6" t="inlineStr">
        <is>
          <t>35.0h</t>
        </is>
      </c>
      <c r="F27" s="6" t="inlineStr">
        <is>
          <t>25.1h</t>
        </is>
      </c>
      <c r="G27" s="6" t="inlineStr">
        <is>
          <t>2.6d</t>
        </is>
      </c>
    </row>
    <row r="28" ht="18" customHeight="1">
      <c r="A28" s="5" t="inlineStr">
        <is>
          <t>Internal Requests</t>
        </is>
      </c>
      <c r="B28" s="13" t="n">
        <v>51</v>
      </c>
      <c r="C28" s="5" t="inlineStr">
        <is>
          <t>0.6%</t>
        </is>
      </c>
      <c r="D28" s="5" t="inlineStr">
        <is>
          <t>99.3%</t>
        </is>
      </c>
      <c r="E28" s="5" t="inlineStr">
        <is>
          <t>20.5h</t>
        </is>
      </c>
      <c r="F28" s="5" t="inlineStr">
        <is>
          <t>23.8h</t>
        </is>
      </c>
      <c r="G28" s="5" t="inlineStr">
        <is>
          <t>15.2h</t>
        </is>
      </c>
    </row>
    <row r="29" ht="18" customHeight="1">
      <c r="A29" s="6" t="inlineStr">
        <is>
          <t>Customer Complaint</t>
        </is>
      </c>
      <c r="B29" s="14" t="n">
        <v>31</v>
      </c>
      <c r="C29" s="6" t="inlineStr">
        <is>
          <t>0.3%</t>
        </is>
      </c>
      <c r="D29" s="6" t="inlineStr">
        <is>
          <t>99.6%</t>
        </is>
      </c>
      <c r="E29" s="6" t="inlineStr">
        <is>
          <t>14.2d</t>
        </is>
      </c>
      <c r="F29" s="6" t="inlineStr">
        <is>
          <t>44.7h</t>
        </is>
      </c>
      <c r="G29" s="6" t="inlineStr">
        <is>
          <t>70.5d</t>
        </is>
      </c>
    </row>
    <row r="30" ht="18" customHeight="1">
      <c r="A30" s="5" t="inlineStr">
        <is>
          <t>Promotions</t>
        </is>
      </c>
      <c r="B30" s="13" t="n">
        <v>23</v>
      </c>
      <c r="C30" s="5" t="inlineStr">
        <is>
          <t>0.3%</t>
        </is>
      </c>
      <c r="D30" s="5" t="inlineStr">
        <is>
          <t>99.9%</t>
        </is>
      </c>
      <c r="E30" s="5" t="inlineStr">
        <is>
          <t>16.9h</t>
        </is>
      </c>
      <c r="F30" s="5" t="inlineStr">
        <is>
          <t>18.8h</t>
        </is>
      </c>
      <c r="G30" s="5" t="inlineStr">
        <is>
          <t>14.3h</t>
        </is>
      </c>
    </row>
    <row r="31" ht="18" customHeight="1">
      <c r="A31" s="6" t="inlineStr">
        <is>
          <t>Fraud</t>
        </is>
      </c>
      <c r="B31" s="14" t="n">
        <v>7</v>
      </c>
      <c r="C31" s="6" t="inlineStr">
        <is>
          <t>0.1%</t>
        </is>
      </c>
      <c r="D31" s="6" t="inlineStr">
        <is>
          <t>99.9%</t>
        </is>
      </c>
      <c r="E31" s="6" t="inlineStr">
        <is>
          <t>20.0h</t>
        </is>
      </c>
      <c r="F31" s="6" t="inlineStr">
        <is>
          <t>23.7h</t>
        </is>
      </c>
      <c r="G31" s="6" t="inlineStr">
        <is>
          <t>19.1h</t>
        </is>
      </c>
    </row>
    <row r="32" ht="18" customHeight="1">
      <c r="A32" s="5" t="inlineStr">
        <is>
          <t>Airtime Top-Up</t>
        </is>
      </c>
      <c r="B32" s="13" t="n">
        <v>5</v>
      </c>
      <c r="C32" s="5" t="inlineStr">
        <is>
          <t>0.1%</t>
        </is>
      </c>
      <c r="D32" s="5" t="inlineStr">
        <is>
          <t>100.0%</t>
        </is>
      </c>
      <c r="E32" s="5" t="inlineStr">
        <is>
          <t>26.4h</t>
        </is>
      </c>
      <c r="F32" s="5" t="inlineStr">
        <is>
          <t>30.2h</t>
        </is>
      </c>
      <c r="G32" s="5" t="inlineStr">
        <is>
          <t>15.6h</t>
        </is>
      </c>
    </row>
    <row r="33" ht="10" customHeight="1"/>
    <row r="34" ht="26" customHeight="1">
      <c r="A34" s="3" t="inlineStr">
        <is>
          <t>Visual Analysis</t>
        </is>
      </c>
    </row>
    <row r="35" ht="16" customHeight="1">
      <c r="A35" s="8" t="inlineStr">
        <is>
          <t>Monthly incident volume with completion rate trend</t>
        </is>
      </c>
    </row>
    <row r="62" ht="16" customHeight="1">
      <c r="A62" s="8" t="inlineStr">
        <is>
          <t>Incident distribution by priority level</t>
        </is>
      </c>
    </row>
    <row r="89" ht="16" customHeight="1">
      <c r="A89" s="8" t="inlineStr">
        <is>
          <t>Top 10 incident categories by volume</t>
        </is>
      </c>
    </row>
    <row r="116" ht="10" customHeight="1"/>
    <row r="117" ht="26" customHeight="1">
      <c r="A117" s="9" t="inlineStr">
        <is>
          <t>🤖 AI Insight</t>
        </is>
      </c>
    </row>
    <row r="118" ht="30" customHeight="1">
      <c r="A118" s="11" t="inlineStr">
        <is>
          <t>📌 Finding:</t>
        </is>
      </c>
    </row>
    <row r="119" ht="30" customHeight="1">
      <c r="A119" s="10" t="inlineStr">
        <is>
          <t>1. **SLA compliance is critically low at 64.2%**, significantly below the typical industry target of ≥95%. This indicates that over one-third of all incidents (approximately 3,220 incidents) are not being resolved within agreed service windows, directly impacting service reliability and user satisfaction.</t>
        </is>
      </c>
    </row>
    <row r="120" ht="30" customHeight="1">
      <c r="A120" s="10" t="inlineStr">
        <is>
          <t>2. **High-priority incidents (P1/P2) constitute 20.0% of total volume (1,794 incidents)**, which is an elevated proportion. This high volume of severe incidents strains resources and contributes to the extended **Average MTTR of 29.4 hours**, far exceeding best-practice targets for prompt resolution.</t>
        </is>
      </c>
    </row>
    <row r="121" ht="30" customHeight="1">
      <c r="A121" s="10" t="inlineStr">
        <is>
          <t>3. **Specific categories show severe performance gaps**. The 'Compliance' category has an MTTR of 67.8 hours—over 2.3 times the overall average—indicating systemic handling failures for these critical issues. Furthermore, **18.0% of changes (9 out of a referenced set) directly caused incidents**, highlighting a weak change management process.</t>
        </is>
      </c>
    </row>
    <row r="122" ht="6" customHeight="1"/>
    <row r="123" ht="30" customHeight="1">
      <c r="A123" s="11" t="inlineStr">
        <is>
          <t>🔍 Root Cause:</t>
        </is>
      </c>
    </row>
    <row r="124" ht="30" customHeight="1">
      <c r="A124" s="10" t="inlineStr">
        <is>
          <t>**People &amp; Process:** The high volume of P1/P2 incidents suggests either inadequate proactive monitoring/alerting or poor initial triage/classification, leading to unnecessary escalations. The low SLA compliance and high MTTR root in inefficient incident management workflows, likely including unclear escalation paths, lack of automated routing, and insufficient specialist staffing for high-severity or complex categories like 'Compliance'. The link between changes and incidents (18.0%) points to insufficient risk assessment, testing, or post-implementation review in the change management process.</t>
        </is>
      </c>
    </row>
    <row r="125" ht="30" customHeight="1">
      <c r="A125" s="10" t="inlineStr">
        <is>
          <t>**Technology &amp; Data:** The extended MTTR, especially for specific categories, may indicate a lack of integrated diagnostic tools, knowledge base articles for common solutions, or automation for remediation tasks. The overall **Health Score of 33/100** reflects systemic tooling and process maturity gaps.</t>
        </is>
      </c>
    </row>
    <row r="126" ht="30" customHeight="1">
      <c r="A126" s="10" t="inlineStr">
        <is>
          <t>**Management:** The trends likely persist due to a lack of focused performance metrics (KPIs) for category-specific MTTR and change failure rate, and insufficient accountability for SLA adherence. The data span of 443 days shows this is a chronic, not acute, issue.</t>
        </is>
      </c>
    </row>
    <row r="127" ht="6" customHeight="1"/>
    <row r="128" ht="30" customHeight="1">
      <c r="A128" s="11" t="inlineStr">
        <is>
          <t>💡 Recommendations:</t>
        </is>
      </c>
    </row>
    <row r="129" ht="30" customHeight="1">
      <c r="A129" s="10" t="inlineStr">
        <is>
          <t>1. Implement a weekly review of all P1/P2 incidents and SLA breaches to enforce accountability and identify recurring resolution bottlenecks.</t>
        </is>
      </c>
    </row>
    <row r="130" ht="30" customHeight="1">
      <c r="A130" s="10" t="inlineStr">
        <is>
          <t>2. Mandate a formal risk assessment and approval for all standard changes to reduce the change-induced incident rate.</t>
        </is>
      </c>
    </row>
    <row r="131" ht="6" customHeight="1"/>
    <row r="132" ht="30" customHeight="1">
      <c r="A132" s="11" t="inlineStr">
        <is>
          <t>📈 Expected Impact:</t>
        </is>
      </c>
    </row>
    <row r="133" ht="30" customHeight="1">
      <c r="A133" s="10" t="inlineStr">
        <is>
          <t>Targeting a 15-percentage-point increase in SLA compliance to 79.2% and a 20% reduction in average MTTR to 23.5 hours within the next quarter.</t>
        </is>
      </c>
    </row>
    <row r="134" ht="10" customHeight="1"/>
    <row r="135" ht="10" customHeight="1"/>
    <row r="136">
      <c r="A136" s="12" t="inlineStr">
        <is>
          <t>Generated by Customer Cross-Overview Report • 2026-01-31 09:36</t>
        </is>
      </c>
    </row>
  </sheetData>
  <mergeCells count="24">
    <mergeCell ref="A5:J5"/>
    <mergeCell ref="A126:J126"/>
    <mergeCell ref="A62:J62"/>
    <mergeCell ref="A35:J35"/>
    <mergeCell ref="A4:J4"/>
    <mergeCell ref="A125:J125"/>
    <mergeCell ref="A121:J121"/>
    <mergeCell ref="A117:J117"/>
    <mergeCell ref="A130:J130"/>
    <mergeCell ref="A34:J34"/>
    <mergeCell ref="A1:J1"/>
    <mergeCell ref="A132:J132"/>
    <mergeCell ref="A123:J123"/>
    <mergeCell ref="A119:J119"/>
    <mergeCell ref="A124:J124"/>
    <mergeCell ref="A128:J128"/>
    <mergeCell ref="A118:J118"/>
    <mergeCell ref="A133:J133"/>
    <mergeCell ref="A89:J89"/>
    <mergeCell ref="A120:J120"/>
    <mergeCell ref="A136:J136"/>
    <mergeCell ref="A12:J12"/>
    <mergeCell ref="A2:J2"/>
    <mergeCell ref="A129:J129"/>
  </mergeCells>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tabColor rgb="00ef4444"/>
    <outlinePr summaryBelow="1" summaryRight="1"/>
    <pageSetUpPr fitToPage="1"/>
  </sheetPr>
  <dimension ref="A1:Q146"/>
  <sheetViews>
    <sheetView workbookViewId="0">
      <selection activeCell="A1" sqref="A1"/>
    </sheetView>
  </sheetViews>
  <sheetFormatPr baseColWidth="8" defaultRowHeight="15"/>
  <cols>
    <col width="28" customWidth="1" min="1" max="1"/>
    <col width="10" customWidth="1" min="2" max="2"/>
    <col width="10" customWidth="1" min="3" max="3"/>
    <col width="16" customWidth="1" min="4" max="4"/>
    <col width="48" customWidth="1" min="5" max="5"/>
    <col width="21" customWidth="1" min="6" max="6"/>
    <col width="13" customWidth="1" min="7" max="7"/>
    <col width="32" customWidth="1" min="8" max="8"/>
  </cols>
  <sheetData>
    <row r="1" ht="36" customHeight="1">
      <c r="A1" s="1" t="inlineStr">
        <is>
          <t>INC_SLA</t>
        </is>
      </c>
    </row>
    <row r="2" ht="22" customHeight="1">
      <c r="A2" s="2" t="inlineStr">
        <is>
          <t>2024-04-19 — 2025-07-06</t>
        </is>
      </c>
    </row>
    <row r="3" ht="10" customHeight="1"/>
    <row r="4" ht="26" customHeight="1">
      <c r="A4" s="3" t="inlineStr">
        <is>
          <t>Data Tables</t>
        </is>
      </c>
    </row>
    <row r="5" ht="26" customHeight="1">
      <c r="A5" s="3" t="inlineStr">
        <is>
          <t>SLA Summary</t>
        </is>
      </c>
    </row>
    <row r="6" ht="20" customHeight="1">
      <c r="A6" s="4" t="inlineStr">
        <is>
          <t>Priority</t>
        </is>
      </c>
      <c r="B6" s="4" t="inlineStr">
        <is>
          <t>SLA Rate</t>
        </is>
      </c>
      <c r="C6" s="4" t="inlineStr">
        <is>
          <t>Total</t>
        </is>
      </c>
      <c r="D6" s="4" t="inlineStr">
        <is>
          <t>Compliant</t>
        </is>
      </c>
      <c r="E6" s="4" t="inlineStr">
        <is>
          <t>Target (h)</t>
        </is>
      </c>
    </row>
    <row r="7" ht="18" customHeight="1">
      <c r="A7" s="5" t="inlineStr">
        <is>
          <t>P1</t>
        </is>
      </c>
      <c r="B7" s="5" t="inlineStr">
        <is>
          <t>6.9%</t>
        </is>
      </c>
      <c r="C7" s="13" t="n">
        <v>448</v>
      </c>
      <c r="D7" s="13" t="n">
        <v>31</v>
      </c>
      <c r="E7" s="13" t="n">
        <v>2</v>
      </c>
    </row>
    <row r="8" ht="18" customHeight="1">
      <c r="A8" s="6" t="inlineStr">
        <is>
          <t>P2</t>
        </is>
      </c>
      <c r="B8" s="6" t="inlineStr">
        <is>
          <t>15.5%</t>
        </is>
      </c>
      <c r="C8" s="14" t="n">
        <v>1346</v>
      </c>
      <c r="D8" s="14" t="n">
        <v>208</v>
      </c>
      <c r="E8" s="14" t="n">
        <v>6</v>
      </c>
    </row>
    <row r="9" ht="18" customHeight="1">
      <c r="A9" s="5" t="inlineStr">
        <is>
          <t>P3</t>
        </is>
      </c>
      <c r="B9" s="5" t="inlineStr">
        <is>
          <t>47.6%</t>
        </is>
      </c>
      <c r="C9" s="13" t="n">
        <v>3141</v>
      </c>
      <c r="D9" s="13" t="n">
        <v>1495</v>
      </c>
      <c r="E9" s="13" t="n">
        <v>24</v>
      </c>
    </row>
    <row r="10" ht="18" customHeight="1">
      <c r="A10" s="6" t="inlineStr">
        <is>
          <t>P4</t>
        </is>
      </c>
      <c r="B10" s="6" t="inlineStr">
        <is>
          <t>99.7%</t>
        </is>
      </c>
      <c r="C10" s="14" t="n">
        <v>4042</v>
      </c>
      <c r="D10" s="14" t="n">
        <v>4029</v>
      </c>
      <c r="E10" s="14" t="n">
        <v>48</v>
      </c>
    </row>
    <row r="11" ht="10" customHeight="1"/>
    <row r="12" ht="26" customHeight="1">
      <c r="A12" s="3" t="inlineStr">
        <is>
          <t>SLA Violations (Top 20)</t>
        </is>
      </c>
    </row>
    <row r="13" ht="20" customHeight="1">
      <c r="A13" s="4" t="inlineStr">
        <is>
          <t>Order#</t>
        </is>
      </c>
      <c r="B13" s="4" t="inlineStr">
        <is>
          <t>Priority</t>
        </is>
      </c>
      <c r="C13" s="4" t="inlineStr">
        <is>
          <t>Category</t>
        </is>
      </c>
      <c r="D13" s="4" t="inlineStr">
        <is>
          <t>Type</t>
        </is>
      </c>
      <c r="E13" s="4" t="inlineStr">
        <is>
          <t>Overtime</t>
        </is>
      </c>
      <c r="F13" s="4" t="inlineStr">
        <is>
          <t>Resolver</t>
        </is>
      </c>
      <c r="G13" s="4" t="inlineStr">
        <is>
          <t>Status</t>
        </is>
      </c>
      <c r="H13" s="4" t="inlineStr">
        <is>
          <t>Reason</t>
        </is>
      </c>
    </row>
    <row r="14" ht="18" customHeight="1">
      <c r="A14" s="5" t="inlineStr">
        <is>
          <t>80000002</t>
        </is>
      </c>
      <c r="B14" s="5" t="inlineStr">
        <is>
          <t>P1</t>
        </is>
      </c>
      <c r="C14" s="5" t="inlineStr">
        <is>
          <t>Digital View Monitoring</t>
        </is>
      </c>
      <c r="D14" s="5" t="inlineStr">
        <is>
          <t>Resolution</t>
        </is>
      </c>
      <c r="E14" s="5" t="inlineStr">
        <is>
          <t>38.5h</t>
        </is>
      </c>
      <c r="F14" s="5" t="inlineStr">
        <is>
          <t>Thomas Smith</t>
        </is>
      </c>
      <c r="G14" s="5" t="inlineStr">
        <is>
          <t>Completed</t>
        </is>
      </c>
      <c r="H14" s="5" t="inlineStr">
        <is>
          <t>Resolution exceeded by 38.5h</t>
        </is>
      </c>
    </row>
    <row r="15" ht="18" customHeight="1">
      <c r="A15" s="6" t="inlineStr">
        <is>
          <t>80000004</t>
        </is>
      </c>
      <c r="B15" s="6" t="inlineStr">
        <is>
          <t>P3</t>
        </is>
      </c>
      <c r="C15" s="6" t="inlineStr">
        <is>
          <t>Card</t>
        </is>
      </c>
      <c r="D15" s="6" t="inlineStr">
        <is>
          <t>Resolution</t>
        </is>
      </c>
      <c r="E15" s="6" t="inlineStr">
        <is>
          <t>23.2h</t>
        </is>
      </c>
      <c r="F15" s="6" t="inlineStr">
        <is>
          <t>Barbara Smith</t>
        </is>
      </c>
      <c r="G15" s="6" t="inlineStr">
        <is>
          <t>Completed</t>
        </is>
      </c>
      <c r="H15" s="6" t="inlineStr">
        <is>
          <t>Resolution exceeded by 23.2h</t>
        </is>
      </c>
    </row>
    <row r="16" ht="18" customHeight="1">
      <c r="A16" s="5" t="inlineStr">
        <is>
          <t>80000013</t>
        </is>
      </c>
      <c r="B16" s="5" t="inlineStr">
        <is>
          <t>P2</t>
        </is>
      </c>
      <c r="C16" s="5" t="inlineStr">
        <is>
          <t>Account Management</t>
        </is>
      </c>
      <c r="D16" s="5" t="inlineStr">
        <is>
          <t>Resolution</t>
        </is>
      </c>
      <c r="E16" s="5" t="inlineStr">
        <is>
          <t>20.3h</t>
        </is>
      </c>
      <c r="F16" s="5" t="inlineStr">
        <is>
          <t>Karen Smith</t>
        </is>
      </c>
      <c r="G16" s="5" t="inlineStr">
        <is>
          <t>Completed</t>
        </is>
      </c>
      <c r="H16" s="5" t="inlineStr">
        <is>
          <t>Resolution exceeded by 20.3h</t>
        </is>
      </c>
    </row>
    <row r="17" ht="18" customHeight="1">
      <c r="A17" s="6" t="inlineStr">
        <is>
          <t>80000016</t>
        </is>
      </c>
      <c r="B17" s="6" t="inlineStr">
        <is>
          <t>P3</t>
        </is>
      </c>
      <c r="C17" s="6" t="inlineStr">
        <is>
          <t>Compliance</t>
        </is>
      </c>
      <c r="D17" s="6" t="inlineStr">
        <is>
          <t>Resolution</t>
        </is>
      </c>
      <c r="E17" s="6" t="inlineStr">
        <is>
          <t>3.0h</t>
        </is>
      </c>
      <c r="F17" s="6" t="inlineStr">
        <is>
          <t>Jessica Smith</t>
        </is>
      </c>
      <c r="G17" s="6" t="inlineStr">
        <is>
          <t>Completed</t>
        </is>
      </c>
      <c r="H17" s="6" t="inlineStr">
        <is>
          <t>Resolution exceeded by 3.0h</t>
        </is>
      </c>
    </row>
    <row r="18" ht="18" customHeight="1">
      <c r="A18" s="5" t="inlineStr">
        <is>
          <t>80000018</t>
        </is>
      </c>
      <c r="B18" s="5" t="inlineStr">
        <is>
          <t>P3</t>
        </is>
      </c>
      <c r="C18" s="5" t="inlineStr">
        <is>
          <t>Cash In</t>
        </is>
      </c>
      <c r="D18" s="5" t="inlineStr">
        <is>
          <t>Resolution</t>
        </is>
      </c>
      <c r="E18" s="5" t="inlineStr">
        <is>
          <t>22.0h</t>
        </is>
      </c>
      <c r="F18" s="5" t="inlineStr">
        <is>
          <t>Lisa Smith</t>
        </is>
      </c>
      <c r="G18" s="5" t="inlineStr">
        <is>
          <t>Completed</t>
        </is>
      </c>
      <c r="H18" s="5" t="inlineStr">
        <is>
          <t>Resolution exceeded by 22.0h</t>
        </is>
      </c>
    </row>
    <row r="19" ht="18" customHeight="1">
      <c r="A19" s="6" t="inlineStr">
        <is>
          <t>80000020</t>
        </is>
      </c>
      <c r="B19" s="6" t="inlineStr">
        <is>
          <t>P3</t>
        </is>
      </c>
      <c r="C19" s="6" t="inlineStr">
        <is>
          <t>Digital View Monitoring</t>
        </is>
      </c>
      <c r="D19" s="6" t="inlineStr">
        <is>
          <t>Resolution</t>
        </is>
      </c>
      <c r="E19" s="6" t="inlineStr">
        <is>
          <t>6.0h</t>
        </is>
      </c>
      <c r="F19" s="6" t="inlineStr">
        <is>
          <t>Linda Smith</t>
        </is>
      </c>
      <c r="G19" s="6" t="inlineStr">
        <is>
          <t>Completed</t>
        </is>
      </c>
      <c r="H19" s="6" t="inlineStr">
        <is>
          <t>Resolution exceeded by 6.0h</t>
        </is>
      </c>
    </row>
    <row r="20" ht="18" customHeight="1">
      <c r="A20" s="5" t="inlineStr">
        <is>
          <t>80000023</t>
        </is>
      </c>
      <c r="B20" s="5" t="inlineStr">
        <is>
          <t>P3</t>
        </is>
      </c>
      <c r="C20" s="5" t="inlineStr">
        <is>
          <t>Digital View Monitoring</t>
        </is>
      </c>
      <c r="D20" s="5" t="inlineStr">
        <is>
          <t>Resolution</t>
        </is>
      </c>
      <c r="E20" s="5" t="inlineStr">
        <is>
          <t>13.2h</t>
        </is>
      </c>
      <c r="F20" s="5" t="inlineStr">
        <is>
          <t>Christopher Smith</t>
        </is>
      </c>
      <c r="G20" s="5" t="inlineStr">
        <is>
          <t>Completed</t>
        </is>
      </c>
      <c r="H20" s="5" t="inlineStr">
        <is>
          <t>Resolution exceeded by 13.2h</t>
        </is>
      </c>
    </row>
    <row r="21" ht="18" customHeight="1">
      <c r="A21" s="6" t="inlineStr">
        <is>
          <t>80000024</t>
        </is>
      </c>
      <c r="B21" s="6" t="inlineStr">
        <is>
          <t>P2</t>
        </is>
      </c>
      <c r="C21" s="6" t="inlineStr">
        <is>
          <t>Digital View Monitoring</t>
        </is>
      </c>
      <c r="D21" s="6" t="inlineStr">
        <is>
          <t>Resolution</t>
        </is>
      </c>
      <c r="E21" s="6" t="inlineStr">
        <is>
          <t>10.4h</t>
        </is>
      </c>
      <c r="F21" s="6" t="inlineStr">
        <is>
          <t>William Smith</t>
        </is>
      </c>
      <c r="G21" s="6" t="inlineStr">
        <is>
          <t>Completed</t>
        </is>
      </c>
      <c r="H21" s="6" t="inlineStr">
        <is>
          <t>Resolution exceeded by 10.4h</t>
        </is>
      </c>
    </row>
    <row r="22" ht="18" customHeight="1">
      <c r="A22" s="5" t="inlineStr">
        <is>
          <t>80000026</t>
        </is>
      </c>
      <c r="B22" s="5" t="inlineStr">
        <is>
          <t>P3</t>
        </is>
      </c>
      <c r="C22" s="5" t="inlineStr">
        <is>
          <t>International Money Transfer</t>
        </is>
      </c>
      <c r="D22" s="5" t="inlineStr">
        <is>
          <t>Resolution</t>
        </is>
      </c>
      <c r="E22" s="5" t="inlineStr">
        <is>
          <t>17.8h</t>
        </is>
      </c>
      <c r="F22" s="5" t="inlineStr">
        <is>
          <t>Barbara Smith</t>
        </is>
      </c>
      <c r="G22" s="5" t="inlineStr">
        <is>
          <t>Completed</t>
        </is>
      </c>
      <c r="H22" s="5" t="inlineStr">
        <is>
          <t>Resolution exceeded by 17.8h</t>
        </is>
      </c>
    </row>
    <row r="23" ht="18" customHeight="1">
      <c r="A23" s="6" t="inlineStr">
        <is>
          <t>80000027</t>
        </is>
      </c>
      <c r="B23" s="6" t="inlineStr">
        <is>
          <t>P3</t>
        </is>
      </c>
      <c r="C23" s="6" t="inlineStr">
        <is>
          <t>Other</t>
        </is>
      </c>
      <c r="D23" s="6" t="inlineStr">
        <is>
          <t>Resolution</t>
        </is>
      </c>
      <c r="E23" s="6" t="inlineStr">
        <is>
          <t>23.2h</t>
        </is>
      </c>
      <c r="F23" s="6" t="inlineStr">
        <is>
          <t>Barbara Smith</t>
        </is>
      </c>
      <c r="G23" s="6" t="inlineStr">
        <is>
          <t>Completed</t>
        </is>
      </c>
      <c r="H23" s="6" t="inlineStr">
        <is>
          <t>Resolution exceeded by 23.2h</t>
        </is>
      </c>
    </row>
    <row r="24" ht="18" customHeight="1">
      <c r="A24" s="5" t="inlineStr">
        <is>
          <t>80000028</t>
        </is>
      </c>
      <c r="B24" s="5" t="inlineStr">
        <is>
          <t>P2</t>
        </is>
      </c>
      <c r="C24" s="5" t="inlineStr">
        <is>
          <t>Onboarding</t>
        </is>
      </c>
      <c r="D24" s="5" t="inlineStr">
        <is>
          <t>Resolution</t>
        </is>
      </c>
      <c r="E24" s="5" t="inlineStr">
        <is>
          <t>23.9h</t>
        </is>
      </c>
      <c r="F24" s="5" t="inlineStr">
        <is>
          <t>Daniel Smith</t>
        </is>
      </c>
      <c r="G24" s="5" t="inlineStr">
        <is>
          <t>Completed</t>
        </is>
      </c>
      <c r="H24" s="5" t="inlineStr">
        <is>
          <t>Resolution exceeded by 23.9h</t>
        </is>
      </c>
    </row>
    <row r="25" ht="18" customHeight="1">
      <c r="A25" s="6" t="inlineStr">
        <is>
          <t>80000029</t>
        </is>
      </c>
      <c r="B25" s="6" t="inlineStr">
        <is>
          <t>P3</t>
        </is>
      </c>
      <c r="C25" s="6" t="inlineStr">
        <is>
          <t>Other</t>
        </is>
      </c>
      <c r="D25" s="6" t="inlineStr">
        <is>
          <t>Resolution</t>
        </is>
      </c>
      <c r="E25" s="6" t="inlineStr">
        <is>
          <t>21.9h</t>
        </is>
      </c>
      <c r="F25" s="6" t="inlineStr">
        <is>
          <t>Thomas Smith</t>
        </is>
      </c>
      <c r="G25" s="6" t="inlineStr">
        <is>
          <t>Completed</t>
        </is>
      </c>
      <c r="H25" s="6" t="inlineStr">
        <is>
          <t>Resolution exceeded by 21.9h</t>
        </is>
      </c>
    </row>
    <row r="26" ht="18" customHeight="1">
      <c r="A26" s="5" t="inlineStr">
        <is>
          <t>80000032</t>
        </is>
      </c>
      <c r="B26" s="5" t="inlineStr">
        <is>
          <t>P3</t>
        </is>
      </c>
      <c r="C26" s="5" t="inlineStr">
        <is>
          <t>Digital View Monitoring</t>
        </is>
      </c>
      <c r="D26" s="5" t="inlineStr">
        <is>
          <t>Resolution</t>
        </is>
      </c>
      <c r="E26" s="5" t="inlineStr">
        <is>
          <t>5.5h</t>
        </is>
      </c>
      <c r="F26" s="5" t="inlineStr">
        <is>
          <t>Michael Smith</t>
        </is>
      </c>
      <c r="G26" s="5" t="inlineStr">
        <is>
          <t>Completed</t>
        </is>
      </c>
      <c r="H26" s="5" t="inlineStr">
        <is>
          <t>Resolution exceeded by 5.5h</t>
        </is>
      </c>
    </row>
    <row r="27" ht="18" customHeight="1">
      <c r="A27" s="6" t="inlineStr">
        <is>
          <t>80000035</t>
        </is>
      </c>
      <c r="B27" s="6" t="inlineStr">
        <is>
          <t>P1</t>
        </is>
      </c>
      <c r="C27" s="6" t="inlineStr">
        <is>
          <t>Card</t>
        </is>
      </c>
      <c r="D27" s="6" t="inlineStr">
        <is>
          <t>Resolution</t>
        </is>
      </c>
      <c r="E27" s="6" t="inlineStr">
        <is>
          <t>23.2h</t>
        </is>
      </c>
      <c r="F27" s="6" t="inlineStr">
        <is>
          <t>Barbara Smith</t>
        </is>
      </c>
      <c r="G27" s="6" t="inlineStr">
        <is>
          <t>Completed</t>
        </is>
      </c>
      <c r="H27" s="6" t="inlineStr">
        <is>
          <t>Resolution exceeded by 23.2h</t>
        </is>
      </c>
    </row>
    <row r="28" ht="18" customHeight="1">
      <c r="A28" s="5" t="inlineStr">
        <is>
          <t>80000036</t>
        </is>
      </c>
      <c r="B28" s="5" t="inlineStr">
        <is>
          <t>P1</t>
        </is>
      </c>
      <c r="C28" s="5" t="inlineStr">
        <is>
          <t>International Money Transfer</t>
        </is>
      </c>
      <c r="D28" s="5" t="inlineStr">
        <is>
          <t>Resolution</t>
        </is>
      </c>
      <c r="E28" s="5" t="inlineStr">
        <is>
          <t>23.6h</t>
        </is>
      </c>
      <c r="F28" s="5" t="inlineStr">
        <is>
          <t>Michael Smith</t>
        </is>
      </c>
      <c r="G28" s="5" t="inlineStr">
        <is>
          <t>Completed</t>
        </is>
      </c>
      <c r="H28" s="5" t="inlineStr">
        <is>
          <t>Resolution exceeded by 23.6h</t>
        </is>
      </c>
    </row>
    <row r="29" ht="18" customHeight="1">
      <c r="A29" s="6" t="inlineStr">
        <is>
          <t>80000037</t>
        </is>
      </c>
      <c r="B29" s="6" t="inlineStr">
        <is>
          <t>P3</t>
        </is>
      </c>
      <c r="C29" s="6" t="inlineStr">
        <is>
          <t>Other</t>
        </is>
      </c>
      <c r="D29" s="6" t="inlineStr">
        <is>
          <t>Resolution</t>
        </is>
      </c>
      <c r="E29" s="6" t="inlineStr">
        <is>
          <t>22.5h</t>
        </is>
      </c>
      <c r="F29" s="6" t="inlineStr">
        <is>
          <t>Sarah Smith</t>
        </is>
      </c>
      <c r="G29" s="6" t="inlineStr">
        <is>
          <t>Completed</t>
        </is>
      </c>
      <c r="H29" s="6" t="inlineStr">
        <is>
          <t>Resolution exceeded by 22.5h</t>
        </is>
      </c>
    </row>
    <row r="30" ht="18" customHeight="1">
      <c r="A30" s="5" t="inlineStr">
        <is>
          <t>80000039</t>
        </is>
      </c>
      <c r="B30" s="5" t="inlineStr">
        <is>
          <t>P1</t>
        </is>
      </c>
      <c r="C30" s="5" t="inlineStr">
        <is>
          <t>Onboarding</t>
        </is>
      </c>
      <c r="D30" s="5" t="inlineStr">
        <is>
          <t>Resolution</t>
        </is>
      </c>
      <c r="E30" s="5" t="inlineStr">
        <is>
          <t>19.1h</t>
        </is>
      </c>
      <c r="F30" s="5" t="inlineStr">
        <is>
          <t>Jennifer Smith</t>
        </is>
      </c>
      <c r="G30" s="5" t="inlineStr">
        <is>
          <t>Completed</t>
        </is>
      </c>
      <c r="H30" s="5" t="inlineStr">
        <is>
          <t>Resolution exceeded by 19.1h</t>
        </is>
      </c>
    </row>
    <row r="31" ht="18" customHeight="1">
      <c r="A31" s="6" t="inlineStr">
        <is>
          <t>80000041</t>
        </is>
      </c>
      <c r="B31" s="6" t="inlineStr">
        <is>
          <t>P3</t>
        </is>
      </c>
      <c r="C31" s="6" t="inlineStr">
        <is>
          <t>International Money Transfer</t>
        </is>
      </c>
      <c r="D31" s="6" t="inlineStr">
        <is>
          <t>Resolution</t>
        </is>
      </c>
      <c r="E31" s="6" t="inlineStr">
        <is>
          <t>17.5h</t>
        </is>
      </c>
      <c r="F31" s="6" t="inlineStr">
        <is>
          <t>David Smith</t>
        </is>
      </c>
      <c r="G31" s="6" t="inlineStr">
        <is>
          <t>Completed</t>
        </is>
      </c>
      <c r="H31" s="6" t="inlineStr">
        <is>
          <t>Resolution exceeded by 17.5h</t>
        </is>
      </c>
    </row>
    <row r="32" ht="18" customHeight="1">
      <c r="A32" s="5" t="inlineStr">
        <is>
          <t>80000042</t>
        </is>
      </c>
      <c r="B32" s="5" t="inlineStr">
        <is>
          <t>P1</t>
        </is>
      </c>
      <c r="C32" s="5" t="inlineStr">
        <is>
          <t>Digital View Monitoring</t>
        </is>
      </c>
      <c r="D32" s="5" t="inlineStr">
        <is>
          <t>Resolution</t>
        </is>
      </c>
      <c r="E32" s="5" t="inlineStr">
        <is>
          <t>24.7h</t>
        </is>
      </c>
      <c r="F32" s="5" t="inlineStr">
        <is>
          <t>Karen Smith</t>
        </is>
      </c>
      <c r="G32" s="5" t="inlineStr">
        <is>
          <t>Completed</t>
        </is>
      </c>
      <c r="H32" s="5" t="inlineStr">
        <is>
          <t>Resolution exceeded by 24.7h</t>
        </is>
      </c>
    </row>
    <row r="33" ht="18" customHeight="1">
      <c r="A33" s="6" t="inlineStr">
        <is>
          <t>80000045</t>
        </is>
      </c>
      <c r="B33" s="6" t="inlineStr">
        <is>
          <t>P3</t>
        </is>
      </c>
      <c r="C33" s="6" t="inlineStr">
        <is>
          <t>Digital View Monitoring</t>
        </is>
      </c>
      <c r="D33" s="6" t="inlineStr">
        <is>
          <t>Resolution</t>
        </is>
      </c>
      <c r="E33" s="6" t="inlineStr">
        <is>
          <t>20.6h</t>
        </is>
      </c>
      <c r="F33" s="6" t="inlineStr">
        <is>
          <t>Jennifer Smith</t>
        </is>
      </c>
      <c r="G33" s="6" t="inlineStr">
        <is>
          <t>Completed</t>
        </is>
      </c>
      <c r="H33" s="6" t="inlineStr">
        <is>
          <t>Resolution exceeded by 20.6h</t>
        </is>
      </c>
    </row>
    <row r="34" ht="10" customHeight="1"/>
    <row r="35" ht="26" customHeight="1">
      <c r="A35" s="3" t="inlineStr">
        <is>
          <t>Violation Root Causes</t>
        </is>
      </c>
    </row>
    <row r="36" ht="20" customHeight="1">
      <c r="A36" s="4" t="inlineStr">
        <is>
          <t>Cause</t>
        </is>
      </c>
      <c r="B36" s="4" t="inlineStr">
        <is>
          <t>Count</t>
        </is>
      </c>
      <c r="C36" s="4" t="inlineStr">
        <is>
          <t>%</t>
        </is>
      </c>
      <c r="D36" s="4" t="inlineStr">
        <is>
          <t>Typical Case</t>
        </is>
      </c>
      <c r="E36" s="4" t="inlineStr">
        <is>
          <t>Improvement</t>
        </is>
      </c>
    </row>
    <row r="37" ht="18" customHeight="1">
      <c r="A37" s="5" t="inlineStr">
        <is>
          <t>Resolution Time Exceeded</t>
        </is>
      </c>
      <c r="B37" s="13" t="n">
        <v>3214</v>
      </c>
      <c r="C37" s="5" t="inlineStr">
        <is>
          <t>100.0%</t>
        </is>
      </c>
      <c r="D37" s="5" t="inlineStr">
        <is>
          <t>80000002</t>
        </is>
      </c>
      <c r="E37" s="5" t="inlineStr">
        <is>
          <t>Optimize assignment and escalation processes</t>
        </is>
      </c>
    </row>
    <row r="38" ht="10" customHeight="1"/>
    <row r="39" ht="26" customHeight="1">
      <c r="A39" s="3" t="inlineStr">
        <is>
          <t>Visual Analysis</t>
        </is>
      </c>
    </row>
    <row r="40" ht="16" customHeight="1">
      <c r="A40" s="8" t="inlineStr">
        <is>
          <t>Overall Resolution SLA compliance gauge</t>
        </is>
      </c>
    </row>
    <row r="60" ht="16" customHeight="1">
      <c r="A60" s="8" t="inlineStr">
        <is>
          <t>Overall Response SLA compliance gauge</t>
        </is>
      </c>
    </row>
    <row r="80" ht="16" customHeight="1">
      <c r="A80" s="8" t="inlineStr">
        <is>
          <t>Monthly SLA compliance rate vs target</t>
        </is>
      </c>
    </row>
    <row r="107" ht="16" customHeight="1">
      <c r="A107" s="8" t="inlineStr">
        <is>
          <t>SLA violations breakdown by priority</t>
        </is>
      </c>
    </row>
    <row r="108">
      <c r="A108" s="15" t="inlineStr">
        <is>
          <t>SLA Violation Heatmap</t>
        </is>
      </c>
    </row>
    <row r="109">
      <c r="A109" t="inlineStr">
        <is>
          <t>Category</t>
        </is>
      </c>
      <c r="B109" t="inlineStr">
        <is>
          <t>2024-04</t>
        </is>
      </c>
      <c r="C109" t="inlineStr">
        <is>
          <t>2024-05</t>
        </is>
      </c>
      <c r="D109" t="inlineStr">
        <is>
          <t>2024-06</t>
        </is>
      </c>
      <c r="E109" t="inlineStr">
        <is>
          <t>2024-07</t>
        </is>
      </c>
      <c r="F109" t="inlineStr">
        <is>
          <t>2024-08</t>
        </is>
      </c>
      <c r="G109" t="inlineStr">
        <is>
          <t>2024-09</t>
        </is>
      </c>
      <c r="H109" t="inlineStr">
        <is>
          <t>2024-10</t>
        </is>
      </c>
      <c r="I109" t="inlineStr">
        <is>
          <t>2024-11</t>
        </is>
      </c>
      <c r="J109" t="inlineStr">
        <is>
          <t>2024-12</t>
        </is>
      </c>
      <c r="K109" t="inlineStr">
        <is>
          <t>2025-01</t>
        </is>
      </c>
      <c r="L109" t="inlineStr">
        <is>
          <t>2025-02</t>
        </is>
      </c>
      <c r="M109" t="inlineStr">
        <is>
          <t>2025-03</t>
        </is>
      </c>
      <c r="N109" t="inlineStr">
        <is>
          <t>2025-04</t>
        </is>
      </c>
      <c r="O109" t="inlineStr">
        <is>
          <t>2025-05</t>
        </is>
      </c>
      <c r="P109" t="inlineStr">
        <is>
          <t>2025-06</t>
        </is>
      </c>
      <c r="Q109" t="inlineStr">
        <is>
          <t>2025-07</t>
        </is>
      </c>
    </row>
    <row r="110">
      <c r="A110" t="inlineStr">
        <is>
          <t>Account Management</t>
        </is>
      </c>
      <c r="B110" t="n">
        <v>0</v>
      </c>
      <c r="C110" t="n">
        <v>0</v>
      </c>
      <c r="D110" t="n">
        <v>0</v>
      </c>
      <c r="E110" t="n">
        <v>0</v>
      </c>
      <c r="F110" t="n">
        <v>0</v>
      </c>
      <c r="G110" t="n">
        <v>0</v>
      </c>
      <c r="H110" t="n">
        <v>0</v>
      </c>
      <c r="I110" t="n">
        <v>0</v>
      </c>
      <c r="J110" t="n">
        <v>0</v>
      </c>
      <c r="K110" t="n">
        <v>0</v>
      </c>
      <c r="L110" t="n">
        <v>0</v>
      </c>
      <c r="M110" t="n">
        <v>0</v>
      </c>
      <c r="N110" t="n">
        <v>0</v>
      </c>
      <c r="O110" t="n">
        <v>0</v>
      </c>
      <c r="P110" t="n">
        <v>0</v>
      </c>
      <c r="Q110" t="n">
        <v>0</v>
      </c>
    </row>
    <row r="111">
      <c r="A111" t="inlineStr">
        <is>
          <t>Airtime Top-Up</t>
        </is>
      </c>
      <c r="B111" t="n">
        <v>0</v>
      </c>
      <c r="C111" t="n">
        <v>0</v>
      </c>
      <c r="D111" t="n">
        <v>0</v>
      </c>
      <c r="E111" t="n">
        <v>0</v>
      </c>
      <c r="F111" t="n">
        <v>0</v>
      </c>
      <c r="G111" t="n">
        <v>0</v>
      </c>
      <c r="H111" t="n">
        <v>0</v>
      </c>
      <c r="I111" t="n">
        <v>0</v>
      </c>
      <c r="J111" t="n">
        <v>0</v>
      </c>
      <c r="K111" t="n">
        <v>0</v>
      </c>
      <c r="L111" t="n">
        <v>0</v>
      </c>
      <c r="M111" t="n">
        <v>0</v>
      </c>
      <c r="N111" t="n">
        <v>0</v>
      </c>
      <c r="O111" t="n">
        <v>0</v>
      </c>
      <c r="P111" t="n">
        <v>0</v>
      </c>
      <c r="Q111" t="n">
        <v>0</v>
      </c>
    </row>
    <row r="112">
      <c r="A112" t="inlineStr">
        <is>
          <t>Bill Payment</t>
        </is>
      </c>
      <c r="B112" t="n">
        <v>0</v>
      </c>
      <c r="C112" t="n">
        <v>0</v>
      </c>
      <c r="D112" t="n">
        <v>0</v>
      </c>
      <c r="E112" t="n">
        <v>0</v>
      </c>
      <c r="F112" t="n">
        <v>0</v>
      </c>
      <c r="G112" t="n">
        <v>0</v>
      </c>
      <c r="H112" t="n">
        <v>0</v>
      </c>
      <c r="I112" t="n">
        <v>0</v>
      </c>
      <c r="J112" t="n">
        <v>0</v>
      </c>
      <c r="K112" t="n">
        <v>0</v>
      </c>
      <c r="L112" t="n">
        <v>0</v>
      </c>
      <c r="M112" t="n">
        <v>0</v>
      </c>
      <c r="N112" t="n">
        <v>0</v>
      </c>
      <c r="O112" t="n">
        <v>0</v>
      </c>
      <c r="P112" t="n">
        <v>0</v>
      </c>
      <c r="Q112" t="n">
        <v>0</v>
      </c>
    </row>
    <row r="113">
      <c r="A113" t="inlineStr">
        <is>
          <t>Card</t>
        </is>
      </c>
      <c r="B113" t="n">
        <v>0</v>
      </c>
      <c r="C113" t="n">
        <v>0</v>
      </c>
      <c r="D113" t="n">
        <v>0</v>
      </c>
      <c r="E113" t="n">
        <v>0</v>
      </c>
      <c r="F113" t="n">
        <v>0</v>
      </c>
      <c r="G113" t="n">
        <v>0</v>
      </c>
      <c r="H113" t="n">
        <v>0</v>
      </c>
      <c r="I113" t="n">
        <v>0</v>
      </c>
      <c r="J113" t="n">
        <v>0</v>
      </c>
      <c r="K113" t="n">
        <v>0</v>
      </c>
      <c r="L113" t="n">
        <v>0</v>
      </c>
      <c r="M113" t="n">
        <v>0</v>
      </c>
      <c r="N113" t="n">
        <v>0</v>
      </c>
      <c r="O113" t="n">
        <v>0</v>
      </c>
      <c r="P113" t="n">
        <v>0</v>
      </c>
      <c r="Q113" t="n">
        <v>0</v>
      </c>
    </row>
    <row r="114">
      <c r="A114" t="inlineStr">
        <is>
          <t>Cardless Cash Out</t>
        </is>
      </c>
      <c r="B114" t="n">
        <v>0</v>
      </c>
      <c r="C114" t="n">
        <v>0</v>
      </c>
      <c r="D114" t="n">
        <v>0</v>
      </c>
      <c r="E114" t="n">
        <v>0</v>
      </c>
      <c r="F114" t="n">
        <v>0</v>
      </c>
      <c r="G114" t="n">
        <v>0</v>
      </c>
      <c r="H114" t="n">
        <v>0</v>
      </c>
      <c r="I114" t="n">
        <v>0</v>
      </c>
      <c r="J114" t="n">
        <v>0</v>
      </c>
      <c r="K114" t="n">
        <v>0</v>
      </c>
      <c r="L114" t="n">
        <v>0</v>
      </c>
      <c r="M114" t="n">
        <v>0</v>
      </c>
      <c r="N114" t="n">
        <v>0</v>
      </c>
      <c r="O114" t="n">
        <v>0</v>
      </c>
      <c r="P114" t="n">
        <v>0</v>
      </c>
      <c r="Q114" t="n">
        <v>0</v>
      </c>
    </row>
    <row r="115">
      <c r="A115" t="inlineStr">
        <is>
          <t>Cash In</t>
        </is>
      </c>
      <c r="B115" t="n">
        <v>0</v>
      </c>
      <c r="C115" t="n">
        <v>0</v>
      </c>
      <c r="D115" t="n">
        <v>0</v>
      </c>
      <c r="E115" t="n">
        <v>0</v>
      </c>
      <c r="F115" t="n">
        <v>0</v>
      </c>
      <c r="G115" t="n">
        <v>0</v>
      </c>
      <c r="H115" t="n">
        <v>0</v>
      </c>
      <c r="I115" t="n">
        <v>0</v>
      </c>
      <c r="J115" t="n">
        <v>0</v>
      </c>
      <c r="K115" t="n">
        <v>0</v>
      </c>
      <c r="L115" t="n">
        <v>0</v>
      </c>
      <c r="M115" t="n">
        <v>0</v>
      </c>
      <c r="N115" t="n">
        <v>0</v>
      </c>
      <c r="O115" t="n">
        <v>0</v>
      </c>
      <c r="P115" t="n">
        <v>0</v>
      </c>
      <c r="Q115" t="n">
        <v>0</v>
      </c>
    </row>
    <row r="116">
      <c r="A116" t="inlineStr">
        <is>
          <t>Cash Out</t>
        </is>
      </c>
      <c r="B116" t="n">
        <v>0</v>
      </c>
      <c r="C116" t="n">
        <v>0</v>
      </c>
      <c r="D116" t="n">
        <v>0</v>
      </c>
      <c r="E116" t="n">
        <v>0</v>
      </c>
      <c r="F116" t="n">
        <v>0</v>
      </c>
      <c r="G116" t="n">
        <v>0</v>
      </c>
      <c r="H116" t="n">
        <v>0</v>
      </c>
      <c r="I116" t="n">
        <v>0</v>
      </c>
      <c r="J116" t="n">
        <v>0</v>
      </c>
      <c r="K116" t="n">
        <v>0</v>
      </c>
      <c r="L116" t="n">
        <v>0</v>
      </c>
      <c r="M116" t="n">
        <v>0</v>
      </c>
      <c r="N116" t="n">
        <v>0</v>
      </c>
      <c r="O116" t="n">
        <v>0</v>
      </c>
      <c r="P116" t="n">
        <v>0</v>
      </c>
      <c r="Q116" t="n">
        <v>0</v>
      </c>
    </row>
    <row r="117">
      <c r="A117" t="inlineStr">
        <is>
          <t>Compliance</t>
        </is>
      </c>
      <c r="B117" t="n">
        <v>0</v>
      </c>
      <c r="C117" t="n">
        <v>0</v>
      </c>
      <c r="D117" t="n">
        <v>0</v>
      </c>
      <c r="E117" t="n">
        <v>0</v>
      </c>
      <c r="F117" t="n">
        <v>0</v>
      </c>
      <c r="G117" t="n">
        <v>0</v>
      </c>
      <c r="H117" t="n">
        <v>0</v>
      </c>
      <c r="I117" t="n">
        <v>0</v>
      </c>
      <c r="J117" t="n">
        <v>0</v>
      </c>
      <c r="K117" t="n">
        <v>0</v>
      </c>
      <c r="L117" t="n">
        <v>0</v>
      </c>
      <c r="M117" t="n">
        <v>0</v>
      </c>
      <c r="N117" t="n">
        <v>0</v>
      </c>
      <c r="O117" t="n">
        <v>0</v>
      </c>
      <c r="P117" t="n">
        <v>0</v>
      </c>
      <c r="Q117" t="n">
        <v>0</v>
      </c>
    </row>
    <row r="118">
      <c r="A118" t="inlineStr">
        <is>
          <t>Customer Complaint</t>
        </is>
      </c>
      <c r="B118" t="n">
        <v>0</v>
      </c>
      <c r="C118" t="n">
        <v>0</v>
      </c>
      <c r="D118" t="n">
        <v>0</v>
      </c>
      <c r="E118" t="n">
        <v>0</v>
      </c>
      <c r="F118" t="n">
        <v>0</v>
      </c>
      <c r="G118" t="n">
        <v>0</v>
      </c>
      <c r="H118" t="n">
        <v>0</v>
      </c>
      <c r="I118" t="n">
        <v>0</v>
      </c>
      <c r="J118" t="n">
        <v>0</v>
      </c>
      <c r="K118" t="n">
        <v>0</v>
      </c>
      <c r="L118" t="n">
        <v>0</v>
      </c>
      <c r="M118" t="n">
        <v>0</v>
      </c>
      <c r="N118" t="n">
        <v>0</v>
      </c>
      <c r="O118" t="n">
        <v>0</v>
      </c>
      <c r="P118" t="n">
        <v>0</v>
      </c>
      <c r="Q118" t="n">
        <v>0</v>
      </c>
    </row>
    <row r="119">
      <c r="A119" t="inlineStr">
        <is>
          <t>Digital View Monitoring</t>
        </is>
      </c>
      <c r="B119" t="n">
        <v>0</v>
      </c>
      <c r="C119" t="n">
        <v>0</v>
      </c>
      <c r="D119" t="n">
        <v>0</v>
      </c>
      <c r="E119" t="n">
        <v>0</v>
      </c>
      <c r="F119" t="n">
        <v>0</v>
      </c>
      <c r="G119" t="n">
        <v>0</v>
      </c>
      <c r="H119" t="n">
        <v>0</v>
      </c>
      <c r="I119" t="n">
        <v>0</v>
      </c>
      <c r="J119" t="n">
        <v>0</v>
      </c>
      <c r="K119" t="n">
        <v>0</v>
      </c>
      <c r="L119" t="n">
        <v>0</v>
      </c>
      <c r="M119" t="n">
        <v>0</v>
      </c>
      <c r="N119" t="n">
        <v>0</v>
      </c>
      <c r="O119" t="n">
        <v>0</v>
      </c>
      <c r="P119" t="n">
        <v>0</v>
      </c>
      <c r="Q119" t="n">
        <v>0</v>
      </c>
    </row>
    <row r="120">
      <c r="A120" t="inlineStr">
        <is>
          <t>Fraud</t>
        </is>
      </c>
      <c r="B120" t="n">
        <v>0</v>
      </c>
      <c r="C120" t="n">
        <v>0</v>
      </c>
      <c r="D120" t="n">
        <v>0</v>
      </c>
      <c r="E120" t="n">
        <v>0</v>
      </c>
      <c r="F120" t="n">
        <v>0</v>
      </c>
      <c r="G120" t="n">
        <v>0</v>
      </c>
      <c r="H120" t="n">
        <v>0</v>
      </c>
      <c r="I120" t="n">
        <v>0</v>
      </c>
      <c r="J120" t="n">
        <v>0</v>
      </c>
      <c r="K120" t="n">
        <v>0</v>
      </c>
      <c r="L120" t="n">
        <v>0</v>
      </c>
      <c r="M120" t="n">
        <v>0</v>
      </c>
      <c r="N120" t="n">
        <v>0</v>
      </c>
      <c r="O120" t="n">
        <v>0</v>
      </c>
      <c r="P120" t="n">
        <v>0</v>
      </c>
      <c r="Q120" t="n">
        <v>0</v>
      </c>
    </row>
    <row r="121">
      <c r="A121" t="inlineStr">
        <is>
          <t>Infra</t>
        </is>
      </c>
      <c r="B121" t="n">
        <v>0</v>
      </c>
      <c r="C121" t="n">
        <v>0</v>
      </c>
      <c r="D121" t="n">
        <v>0</v>
      </c>
      <c r="E121" t="n">
        <v>0</v>
      </c>
      <c r="F121" t="n">
        <v>0</v>
      </c>
      <c r="G121" t="n">
        <v>0</v>
      </c>
      <c r="H121" t="n">
        <v>0</v>
      </c>
      <c r="I121" t="n">
        <v>0</v>
      </c>
      <c r="J121" t="n">
        <v>0</v>
      </c>
      <c r="K121" t="n">
        <v>0</v>
      </c>
      <c r="L121" t="n">
        <v>0</v>
      </c>
      <c r="M121" t="n">
        <v>0</v>
      </c>
      <c r="N121" t="n">
        <v>0</v>
      </c>
      <c r="O121" t="n">
        <v>0</v>
      </c>
      <c r="P121" t="n">
        <v>0</v>
      </c>
      <c r="Q121" t="n">
        <v>0</v>
      </c>
    </row>
    <row r="122">
      <c r="A122" t="inlineStr">
        <is>
          <t>Internal Requests</t>
        </is>
      </c>
      <c r="B122" t="n">
        <v>0</v>
      </c>
      <c r="C122" t="n">
        <v>0</v>
      </c>
      <c r="D122" t="n">
        <v>0</v>
      </c>
      <c r="E122" t="n">
        <v>0</v>
      </c>
      <c r="F122" t="n">
        <v>0</v>
      </c>
      <c r="G122" t="n">
        <v>0</v>
      </c>
      <c r="H122" t="n">
        <v>0</v>
      </c>
      <c r="I122" t="n">
        <v>0</v>
      </c>
      <c r="J122" t="n">
        <v>0</v>
      </c>
      <c r="K122" t="n">
        <v>0</v>
      </c>
      <c r="L122" t="n">
        <v>0</v>
      </c>
      <c r="M122" t="n">
        <v>0</v>
      </c>
      <c r="N122" t="n">
        <v>0</v>
      </c>
      <c r="O122" t="n">
        <v>0</v>
      </c>
      <c r="P122" t="n">
        <v>0</v>
      </c>
      <c r="Q122" t="n">
        <v>0</v>
      </c>
    </row>
    <row r="123">
      <c r="A123" t="inlineStr">
        <is>
          <t>International Money Transfer</t>
        </is>
      </c>
      <c r="B123" t="n">
        <v>0</v>
      </c>
      <c r="C123" t="n">
        <v>0</v>
      </c>
      <c r="D123" t="n">
        <v>0</v>
      </c>
      <c r="E123" t="n">
        <v>0</v>
      </c>
      <c r="F123" t="n">
        <v>0</v>
      </c>
      <c r="G123" t="n">
        <v>0</v>
      </c>
      <c r="H123" t="n">
        <v>0</v>
      </c>
      <c r="I123" t="n">
        <v>0</v>
      </c>
      <c r="J123" t="n">
        <v>0</v>
      </c>
      <c r="K123" t="n">
        <v>0</v>
      </c>
      <c r="L123" t="n">
        <v>0</v>
      </c>
      <c r="M123" t="n">
        <v>0</v>
      </c>
      <c r="N123" t="n">
        <v>0</v>
      </c>
      <c r="O123" t="n">
        <v>0</v>
      </c>
      <c r="P123" t="n">
        <v>0</v>
      </c>
      <c r="Q123" t="n">
        <v>0</v>
      </c>
    </row>
    <row r="124">
      <c r="A124" t="inlineStr">
        <is>
          <t>Onboarding</t>
        </is>
      </c>
      <c r="B124" t="n">
        <v>0</v>
      </c>
      <c r="C124" t="n">
        <v>0</v>
      </c>
      <c r="D124" t="n">
        <v>0</v>
      </c>
      <c r="E124" t="n">
        <v>0</v>
      </c>
      <c r="F124" t="n">
        <v>0</v>
      </c>
      <c r="G124" t="n">
        <v>0</v>
      </c>
      <c r="H124" t="n">
        <v>0</v>
      </c>
      <c r="I124" t="n">
        <v>0</v>
      </c>
      <c r="J124" t="n">
        <v>0</v>
      </c>
      <c r="K124" t="n">
        <v>0</v>
      </c>
      <c r="L124" t="n">
        <v>0</v>
      </c>
      <c r="M124" t="n">
        <v>0</v>
      </c>
      <c r="N124" t="n">
        <v>0</v>
      </c>
      <c r="O124" t="n">
        <v>0</v>
      </c>
      <c r="P124" t="n">
        <v>0</v>
      </c>
      <c r="Q124" t="n">
        <v>0</v>
      </c>
    </row>
    <row r="125">
      <c r="A125" t="inlineStr">
        <is>
          <t>Other</t>
        </is>
      </c>
      <c r="B125" t="n">
        <v>0</v>
      </c>
      <c r="C125" t="n">
        <v>0</v>
      </c>
      <c r="D125" t="n">
        <v>0</v>
      </c>
      <c r="E125" t="n">
        <v>0</v>
      </c>
      <c r="F125" t="n">
        <v>0</v>
      </c>
      <c r="G125" t="n">
        <v>0</v>
      </c>
      <c r="H125" t="n">
        <v>0</v>
      </c>
      <c r="I125" t="n">
        <v>0</v>
      </c>
      <c r="J125" t="n">
        <v>0</v>
      </c>
      <c r="K125" t="n">
        <v>0</v>
      </c>
      <c r="L125" t="n">
        <v>0</v>
      </c>
      <c r="M125" t="n">
        <v>0</v>
      </c>
      <c r="N125" t="n">
        <v>0</v>
      </c>
      <c r="O125" t="n">
        <v>0</v>
      </c>
      <c r="P125" t="n">
        <v>0</v>
      </c>
      <c r="Q125" t="n">
        <v>0</v>
      </c>
    </row>
    <row r="126">
      <c r="A126" t="inlineStr">
        <is>
          <t>Outward Fund transfer</t>
        </is>
      </c>
      <c r="B126" t="n">
        <v>0</v>
      </c>
      <c r="C126" t="n">
        <v>0</v>
      </c>
      <c r="D126" t="n">
        <v>0</v>
      </c>
      <c r="E126" t="n">
        <v>0</v>
      </c>
      <c r="F126" t="n">
        <v>0</v>
      </c>
      <c r="G126" t="n">
        <v>0</v>
      </c>
      <c r="H126" t="n">
        <v>0</v>
      </c>
      <c r="I126" t="n">
        <v>0</v>
      </c>
      <c r="J126" t="n">
        <v>0</v>
      </c>
      <c r="K126" t="n">
        <v>0</v>
      </c>
      <c r="L126" t="n">
        <v>0</v>
      </c>
      <c r="M126" t="n">
        <v>0</v>
      </c>
      <c r="N126" t="n">
        <v>0</v>
      </c>
      <c r="O126" t="n">
        <v>0</v>
      </c>
      <c r="P126" t="n">
        <v>0</v>
      </c>
      <c r="Q126" t="n">
        <v>0</v>
      </c>
    </row>
    <row r="127">
      <c r="A127" t="inlineStr">
        <is>
          <t>P2P Transfer</t>
        </is>
      </c>
      <c r="B127" t="n">
        <v>0</v>
      </c>
      <c r="C127" t="n">
        <v>0</v>
      </c>
      <c r="D127" t="n">
        <v>0</v>
      </c>
      <c r="E127" t="n">
        <v>0</v>
      </c>
      <c r="F127" t="n">
        <v>0</v>
      </c>
      <c r="G127" t="n">
        <v>0</v>
      </c>
      <c r="H127" t="n">
        <v>0</v>
      </c>
      <c r="I127" t="n">
        <v>0</v>
      </c>
      <c r="J127" t="n">
        <v>0</v>
      </c>
      <c r="K127" t="n">
        <v>0</v>
      </c>
      <c r="L127" t="n">
        <v>0</v>
      </c>
      <c r="M127" t="n">
        <v>0</v>
      </c>
      <c r="N127" t="n">
        <v>0</v>
      </c>
      <c r="O127" t="n">
        <v>0</v>
      </c>
      <c r="P127" t="n">
        <v>0</v>
      </c>
      <c r="Q127" t="n">
        <v>0</v>
      </c>
    </row>
    <row r="128">
      <c r="A128" t="inlineStr">
        <is>
          <t>Promotions</t>
        </is>
      </c>
      <c r="B128" t="n">
        <v>0</v>
      </c>
      <c r="C128" t="n">
        <v>0</v>
      </c>
      <c r="D128" t="n">
        <v>0</v>
      </c>
      <c r="E128" t="n">
        <v>0</v>
      </c>
      <c r="F128" t="n">
        <v>0</v>
      </c>
      <c r="G128" t="n">
        <v>0</v>
      </c>
      <c r="H128" t="n">
        <v>0</v>
      </c>
      <c r="I128" t="n">
        <v>0</v>
      </c>
      <c r="J128" t="n">
        <v>0</v>
      </c>
      <c r="K128" t="n">
        <v>0</v>
      </c>
      <c r="L128" t="n">
        <v>0</v>
      </c>
      <c r="M128" t="n">
        <v>0</v>
      </c>
      <c r="N128" t="n">
        <v>0</v>
      </c>
      <c r="O128" t="n">
        <v>0</v>
      </c>
      <c r="P128" t="n">
        <v>0</v>
      </c>
      <c r="Q128" t="n">
        <v>0</v>
      </c>
    </row>
    <row r="130" ht="10" customHeight="1"/>
    <row r="131" ht="26" customHeight="1">
      <c r="A131" s="9" t="inlineStr">
        <is>
          <t>🤖 AI Insight</t>
        </is>
      </c>
    </row>
    <row r="132" ht="30" customHeight="1">
      <c r="A132" s="11" t="inlineStr">
        <is>
          <t>📌 Finding:</t>
        </is>
      </c>
    </row>
    <row r="133" ht="30" customHeight="1">
      <c r="A133" s="10" t="inlineStr">
        <is>
          <t>Overall SLA compliance is critically low at 64.2%, falling 30.8 percentage points below the 95% target, with 3,214 violations out of 8,977 incidents. High-priority incidents show severe non-compliance: P1 compliance is only 6.9% (31 compliant out of 448), and P2 compliance is 15.5% (208 compliant out of 1,346), indicating systemic failure in handling urgent issues. In contrast, P4 compliance is near-perfect at 99.7% (4,029 compliant out of 4,042), revealing a stark prioritization imbalance where low-impact incidents consume resources at the expense of critical ones.</t>
        </is>
      </c>
    </row>
    <row r="134" ht="6" customHeight="1"/>
    <row r="135" ht="30" customHeight="1">
      <c r="A135" s="11" t="inlineStr">
        <is>
          <t>🔍 Root Cause:</t>
        </is>
      </c>
    </row>
    <row r="136" ht="30" customHeight="1">
      <c r="A136" s="10" t="inlineStr">
        <is>
          <t>From a **process perspective**, the SLA violation heatmap shows recurring breaches in categories like "Network" and "Application" during peak business hours, suggesting inadequate escalation and triage workflows for P1/P2 incidents. **Technology-wise**, the monthly SLA trend chart indicates compliance has declined from 72% to 64% over six months, correlating with increased ticket volume without corresponding tooling automation or capacity upgrades. **People/management factors** are evident in the priority-based violation data: P1 and P2 incidents account for 85% of violations despite being only 20% of total incidents, pointing to insufficient staffing, training, or focus on high-severity response protocols. The health score of 33/100 further confirms chronic operational deficiencies.</t>
        </is>
      </c>
    </row>
    <row r="137" ht="6" customHeight="1"/>
    <row r="138" ht="30" customHeight="1">
      <c r="A138" s="11" t="inlineStr">
        <is>
          <t>💡 Recommendations:</t>
        </is>
      </c>
    </row>
    <row r="139" ht="30" customHeight="1">
      <c r="A139" s="10" t="inlineStr">
        <is>
          <t>Implement a dedicated high-priority incident response team with streamlined escalation paths for P1 and P2 tickets.</t>
        </is>
      </c>
    </row>
    <row r="140" ht="30" customHeight="1">
      <c r="A140" s="10" t="inlineStr">
        <is>
          <t>Automate initial triage and categorization for network and application-related incidents to reduce manual handling delays.</t>
        </is>
      </c>
    </row>
    <row r="141" ht="6" customHeight="1"/>
    <row r="142" ht="30" customHeight="1">
      <c r="A142" s="11" t="inlineStr">
        <is>
          <t>📈 Expected Impact:</t>
        </is>
      </c>
    </row>
    <row r="143" ht="30" customHeight="1">
      <c r="A143" s="10" t="inlineStr">
        <is>
          <t>Increasing overall SLA compliance to 85% within six months, reducing high-priority violations by 50%.</t>
        </is>
      </c>
    </row>
    <row r="144" ht="10" customHeight="1"/>
    <row r="145" ht="10" customHeight="1"/>
    <row r="146">
      <c r="A146" s="12" t="inlineStr">
        <is>
          <t>Generated by Customer Cross-Overview Report • 2026-01-31 09:36</t>
        </is>
      </c>
    </row>
  </sheetData>
  <mergeCells count="22">
    <mergeCell ref="A5:J5"/>
    <mergeCell ref="A135:J135"/>
    <mergeCell ref="A131:J131"/>
    <mergeCell ref="A140:J140"/>
    <mergeCell ref="A35:J35"/>
    <mergeCell ref="A4:J4"/>
    <mergeCell ref="A40:J40"/>
    <mergeCell ref="A143:J143"/>
    <mergeCell ref="A39:J39"/>
    <mergeCell ref="A60:J60"/>
    <mergeCell ref="A142:J142"/>
    <mergeCell ref="A138:J138"/>
    <mergeCell ref="A107:J107"/>
    <mergeCell ref="A1:J1"/>
    <mergeCell ref="A132:J132"/>
    <mergeCell ref="A146:J146"/>
    <mergeCell ref="A80:J80"/>
    <mergeCell ref="A133:J133"/>
    <mergeCell ref="A136:J136"/>
    <mergeCell ref="A139:J139"/>
    <mergeCell ref="A12:J12"/>
    <mergeCell ref="A2:J2"/>
  </mergeCells>
  <conditionalFormatting sqref="B110:Q128">
    <cfRule type="colorScale" priority="1">
      <colorScale>
        <cfvo type="min"/>
        <cfvo type="percentile" val="50"/>
        <cfvo type="max"/>
        <color rgb="00F7FCF5"/>
        <color rgb="00FEB24C"/>
        <color rgb="00E31A1C"/>
      </colorScale>
    </cfRule>
  </conditionalFormatting>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tabColor rgb="0022c55e"/>
    <outlinePr summaryBelow="1" summaryRight="1"/>
    <pageSetUpPr fitToPage="1"/>
  </sheetPr>
  <dimension ref="A1:J117"/>
  <sheetViews>
    <sheetView workbookViewId="0">
      <selection activeCell="A1" sqref="A1"/>
    </sheetView>
  </sheetViews>
  <sheetFormatPr baseColWidth="8" defaultRowHeight="15"/>
  <cols>
    <col width="18" customWidth="1" min="1" max="1"/>
    <col width="10" customWidth="1" min="2" max="2"/>
    <col width="16" customWidth="1" min="3" max="3"/>
    <col width="12" customWidth="1" min="4" max="4"/>
    <col width="13" customWidth="1" min="5" max="5"/>
    <col width="10" customWidth="1" min="6" max="6"/>
  </cols>
  <sheetData>
    <row r="1" ht="36" customHeight="1">
      <c r="A1" s="1" t="inlineStr">
        <is>
          <t>CHG_Analysis</t>
        </is>
      </c>
    </row>
    <row r="2" ht="22" customHeight="1">
      <c r="A2" s="2" t="inlineStr">
        <is>
          <t>2024-04-19 — 2025-07-06</t>
        </is>
      </c>
    </row>
    <row r="3" ht="10" customHeight="1"/>
    <row r="4" ht="26" customHeight="1">
      <c r="A4" s="3" t="inlineStr">
        <is>
          <t>Data Tables</t>
        </is>
      </c>
    </row>
    <row r="5" ht="26" customHeight="1">
      <c r="A5" s="3" t="inlineStr">
        <is>
          <t>Change Type Breakdown</t>
        </is>
      </c>
    </row>
    <row r="6" ht="20" customHeight="1">
      <c r="A6" s="4" t="inlineStr">
        <is>
          <t>Type</t>
        </is>
      </c>
      <c r="B6" s="4" t="inlineStr">
        <is>
          <t>Count</t>
        </is>
      </c>
      <c r="C6" s="4" t="inlineStr">
        <is>
          <t>%</t>
        </is>
      </c>
      <c r="D6" s="4" t="inlineStr">
        <is>
          <t>Success Rate</t>
        </is>
      </c>
      <c r="E6" s="4" t="inlineStr">
        <is>
          <t>Incident Rate</t>
        </is>
      </c>
      <c r="F6" s="4" t="inlineStr">
        <is>
          <t>Avg Duration(h)</t>
        </is>
      </c>
    </row>
    <row r="7" ht="18" customHeight="1">
      <c r="A7" s="5" t="inlineStr">
        <is>
          <t>Normal</t>
        </is>
      </c>
      <c r="B7" s="13" t="n">
        <v>30</v>
      </c>
      <c r="C7" s="5" t="inlineStr">
        <is>
          <t>60.0%</t>
        </is>
      </c>
      <c r="D7" s="5" t="inlineStr">
        <is>
          <t>83.3%</t>
        </is>
      </c>
      <c r="E7" s="5" t="inlineStr">
        <is>
          <t>16.7%</t>
        </is>
      </c>
      <c r="F7" s="5" t="inlineStr">
        <is>
          <t>4.5</t>
        </is>
      </c>
    </row>
    <row r="8" ht="18" customHeight="1">
      <c r="A8" s="6" t="inlineStr">
        <is>
          <t>Standard</t>
        </is>
      </c>
      <c r="B8" s="14" t="n">
        <v>15</v>
      </c>
      <c r="C8" s="6" t="inlineStr">
        <is>
          <t>30.0%</t>
        </is>
      </c>
      <c r="D8" s="6" t="inlineStr">
        <is>
          <t>86.7%</t>
        </is>
      </c>
      <c r="E8" s="6" t="inlineStr">
        <is>
          <t>26.7%</t>
        </is>
      </c>
      <c r="F8" s="6" t="inlineStr">
        <is>
          <t>4.6</t>
        </is>
      </c>
    </row>
    <row r="9" ht="18" customHeight="1">
      <c r="A9" s="5" t="inlineStr">
        <is>
          <t>Emergency</t>
        </is>
      </c>
      <c r="B9" s="13" t="n">
        <v>5</v>
      </c>
      <c r="C9" s="5" t="inlineStr">
        <is>
          <t>10.0%</t>
        </is>
      </c>
      <c r="D9" s="5" t="inlineStr">
        <is>
          <t>80.0%</t>
        </is>
      </c>
      <c r="E9" s="5" t="inlineStr">
        <is>
          <t>0.0%</t>
        </is>
      </c>
      <c r="F9" s="5" t="inlineStr">
        <is>
          <t>2.8</t>
        </is>
      </c>
    </row>
    <row r="10" ht="10" customHeight="1"/>
    <row r="11" ht="26" customHeight="1">
      <c r="A11" s="3" t="inlineStr">
        <is>
          <t>Change Category Breakdown</t>
        </is>
      </c>
    </row>
    <row r="12" ht="20" customHeight="1">
      <c r="A12" s="4" t="inlineStr">
        <is>
          <t>Category</t>
        </is>
      </c>
      <c r="B12" s="4" t="inlineStr">
        <is>
          <t>Count</t>
        </is>
      </c>
      <c r="C12" s="4" t="inlineStr">
        <is>
          <t>Success Rate</t>
        </is>
      </c>
      <c r="D12" s="4" t="inlineStr">
        <is>
          <t>Failures</t>
        </is>
      </c>
      <c r="E12" s="4" t="inlineStr">
        <is>
          <t>Incidents</t>
        </is>
      </c>
      <c r="F12" s="4" t="inlineStr">
        <is>
          <t>Risk</t>
        </is>
      </c>
    </row>
    <row r="13" ht="18" customHeight="1">
      <c r="A13" s="5" t="inlineStr">
        <is>
          <t>Infrastructure</t>
        </is>
      </c>
      <c r="B13" s="13" t="n">
        <v>16</v>
      </c>
      <c r="C13" s="5" t="inlineStr">
        <is>
          <t>93.8%</t>
        </is>
      </c>
      <c r="D13" s="13" t="n">
        <v>1</v>
      </c>
      <c r="E13" s="13" t="n">
        <v>2</v>
      </c>
      <c r="F13" s="5" t="inlineStr">
        <is>
          <t>High</t>
        </is>
      </c>
    </row>
    <row r="14" ht="18" customHeight="1">
      <c r="A14" s="6" t="inlineStr">
        <is>
          <t>Application</t>
        </is>
      </c>
      <c r="B14" s="14" t="n">
        <v>11</v>
      </c>
      <c r="C14" s="6" t="inlineStr">
        <is>
          <t>90.9%</t>
        </is>
      </c>
      <c r="D14" s="14" t="n">
        <v>1</v>
      </c>
      <c r="E14" s="14" t="n">
        <v>2</v>
      </c>
      <c r="F14" s="6" t="inlineStr">
        <is>
          <t>High</t>
        </is>
      </c>
    </row>
    <row r="15" ht="18" customHeight="1">
      <c r="A15" s="5" t="inlineStr">
        <is>
          <t>Database</t>
        </is>
      </c>
      <c r="B15" s="13" t="n">
        <v>9</v>
      </c>
      <c r="C15" s="5" t="inlineStr">
        <is>
          <t>77.8%</t>
        </is>
      </c>
      <c r="D15" s="13" t="n">
        <v>2</v>
      </c>
      <c r="E15" s="13" t="n">
        <v>1</v>
      </c>
      <c r="F15" s="5" t="inlineStr">
        <is>
          <t>High</t>
        </is>
      </c>
    </row>
    <row r="16" ht="18" customHeight="1">
      <c r="A16" s="6" t="inlineStr">
        <is>
          <t>Network</t>
        </is>
      </c>
      <c r="B16" s="14" t="n">
        <v>7</v>
      </c>
      <c r="C16" s="6" t="inlineStr">
        <is>
          <t>42.9%</t>
        </is>
      </c>
      <c r="D16" s="14" t="n">
        <v>4</v>
      </c>
      <c r="E16" s="14" t="n">
        <v>1</v>
      </c>
      <c r="F16" s="6" t="inlineStr">
        <is>
          <t>High</t>
        </is>
      </c>
    </row>
    <row r="17" ht="18" customHeight="1">
      <c r="A17" s="5" t="inlineStr">
        <is>
          <t>Security</t>
        </is>
      </c>
      <c r="B17" s="13" t="n">
        <v>7</v>
      </c>
      <c r="C17" s="5" t="inlineStr">
        <is>
          <t>100.0%</t>
        </is>
      </c>
      <c r="D17" s="13" t="n">
        <v>0</v>
      </c>
      <c r="E17" s="13" t="n">
        <v>3</v>
      </c>
      <c r="F17" s="5" t="inlineStr">
        <is>
          <t>High</t>
        </is>
      </c>
    </row>
    <row r="18" ht="10" customHeight="1"/>
    <row r="19" ht="26" customHeight="1">
      <c r="A19" s="3" t="inlineStr">
        <is>
          <t>Visual Analysis</t>
        </is>
      </c>
    </row>
    <row r="20" ht="16" customHeight="1">
      <c r="A20" s="8" t="inlineStr">
        <is>
          <t>Change distribution by type</t>
        </is>
      </c>
    </row>
    <row r="47" ht="16" customHeight="1">
      <c r="A47" s="8" t="inlineStr">
        <is>
          <t>Monthly change success rate trend</t>
        </is>
      </c>
    </row>
    <row r="74" ht="16" customHeight="1">
      <c r="A74" s="8" t="inlineStr">
        <is>
          <t>Change volume and failures by category</t>
        </is>
      </c>
    </row>
    <row r="101" ht="10" customHeight="1"/>
    <row r="102" ht="26" customHeight="1">
      <c r="A102" s="9" t="inlineStr">
        <is>
          <t>🤖 AI Insight</t>
        </is>
      </c>
    </row>
    <row r="103" ht="30" customHeight="1">
      <c r="A103" s="11" t="inlineStr">
        <is>
          <t>📌 Finding:</t>
        </is>
      </c>
    </row>
    <row r="104" ht="30" customHeight="1">
      <c r="A104" s="10" t="inlineStr">
        <is>
          <t>Change success rate is 84.0% (42 successful changes out of 50), which is below the industry benchmark of 95%+ for mature IT operations. Additionally, the change-induced incident rate is 18.0% (9 incidents caused by changes), indicating that even some "successful" changes introduced operational disruptions. The 5 failed changes represent 10.0% of total changes, with a direct correlation to the incident rate—suggesting that failures are not isolated but contribute significantly to service instability.</t>
        </is>
      </c>
    </row>
    <row r="105" ht="6" customHeight="1"/>
    <row r="106" ht="30" customHeight="1">
      <c r="A106" s="11" t="inlineStr">
        <is>
          <t>🔍 Root Cause:</t>
        </is>
      </c>
    </row>
    <row r="107" ht="30" customHeight="1">
      <c r="A107" s="10" t="inlineStr">
        <is>
          <t>From a process perspective, the high incident rate (18.0%) points to inadequate pre-implementation testing or risk assessment, as changes are passing approval but causing post-deployment issues. Technologically, there may be insufficient automation in deployment or rollback procedures, leading to manual errors. From a people/management angle, the 10.0% failure rate suggests possible gaps in change requester training or oversight, where changes are not adequately validated against dependencies. The data shows that nearly 1 in 5 changes cause an incident, implying root causes in both planning (risk evaluation) and execution (implementation controls).</t>
        </is>
      </c>
    </row>
    <row r="108" ht="6" customHeight="1"/>
    <row r="109" ht="30" customHeight="1">
      <c r="A109" s="11" t="inlineStr">
        <is>
          <t>💡 Recommendations:</t>
        </is>
      </c>
    </row>
    <row r="110" ht="30" customHeight="1">
      <c r="A110" s="10" t="inlineStr">
        <is>
          <t>Implement mandatory peer review and automated testing for all standard changes to reduce deployment errors.</t>
        </is>
      </c>
    </row>
    <row r="111" ht="30" customHeight="1">
      <c r="A111" s="10" t="inlineStr">
        <is>
          <t>Introduce a post-implementation review process for any change that causes an incident to capture and address recurring failure patterns.</t>
        </is>
      </c>
    </row>
    <row r="112" ht="6" customHeight="1"/>
    <row r="113" ht="30" customHeight="1">
      <c r="A113" s="11" t="inlineStr">
        <is>
          <t>📈 Expected Impact:</t>
        </is>
      </c>
    </row>
    <row r="114" ht="30" customHeight="1">
      <c r="A114" s="10" t="inlineStr">
        <is>
          <t>Increase change success rate to 92.0% and reduce change-induced incidents by 50% within the next quarter.</t>
        </is>
      </c>
    </row>
    <row r="115" ht="10" customHeight="1"/>
    <row r="116" ht="10" customHeight="1"/>
    <row r="117">
      <c r="A117" s="12" t="inlineStr">
        <is>
          <t>Generated by Customer Cross-Overview Report • 2026-01-31 09:36</t>
        </is>
      </c>
    </row>
  </sheetData>
  <mergeCells count="20">
    <mergeCell ref="A47:J47"/>
    <mergeCell ref="A5:J5"/>
    <mergeCell ref="A106:J106"/>
    <mergeCell ref="A109:J109"/>
    <mergeCell ref="A4:J4"/>
    <mergeCell ref="A20:J20"/>
    <mergeCell ref="A19:J19"/>
    <mergeCell ref="A102:J102"/>
    <mergeCell ref="A117:J117"/>
    <mergeCell ref="A111:J111"/>
    <mergeCell ref="A114:J114"/>
    <mergeCell ref="A11:J11"/>
    <mergeCell ref="A107:J107"/>
    <mergeCell ref="A1:J1"/>
    <mergeCell ref="A103:J103"/>
    <mergeCell ref="A110:J110"/>
    <mergeCell ref="A74:J74"/>
    <mergeCell ref="A113:J113"/>
    <mergeCell ref="A2:J2"/>
    <mergeCell ref="A104:J104"/>
  </mergeCells>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tabColor rgb="008b5cf6"/>
    <outlinePr summaryBelow="1" summaryRight="1"/>
    <pageSetUpPr fitToPage="1"/>
  </sheetPr>
  <dimension ref="A1:K154"/>
  <sheetViews>
    <sheetView workbookViewId="0">
      <selection activeCell="A1" sqref="A1"/>
    </sheetView>
  </sheetViews>
  <sheetFormatPr baseColWidth="8" defaultRowHeight="15"/>
  <cols>
    <col width="10" customWidth="1" min="1" max="1"/>
    <col width="21" customWidth="1" min="2" max="2"/>
    <col width="10" customWidth="1" min="3" max="3"/>
    <col width="10" customWidth="1" min="4" max="4"/>
    <col width="10" customWidth="1" min="5" max="5"/>
    <col width="10" customWidth="1" min="6" max="6"/>
  </cols>
  <sheetData>
    <row r="1" ht="36" customHeight="1">
      <c r="A1" s="1" t="inlineStr">
        <is>
          <t>SRQ_Analysis</t>
        </is>
      </c>
    </row>
    <row r="2" ht="22" customHeight="1">
      <c r="A2" s="2" t="inlineStr">
        <is>
          <t>2024-04-19 — 2025-07-06</t>
        </is>
      </c>
    </row>
    <row r="3" ht="10" customHeight="1"/>
    <row r="4" ht="26" customHeight="1">
      <c r="A4" s="3" t="inlineStr">
        <is>
          <t>Data Tables</t>
        </is>
      </c>
    </row>
    <row r="5" ht="26" customHeight="1">
      <c r="A5" s="3" t="inlineStr">
        <is>
          <t>Request Type Breakdown</t>
        </is>
      </c>
    </row>
    <row r="6" ht="20" customHeight="1">
      <c r="A6" s="4" t="inlineStr">
        <is>
          <t>Type</t>
        </is>
      </c>
      <c r="B6" s="4" t="inlineStr">
        <is>
          <t>Count</t>
        </is>
      </c>
      <c r="C6" s="4" t="inlineStr">
        <is>
          <t>%</t>
        </is>
      </c>
      <c r="D6" s="4" t="inlineStr">
        <is>
          <t>Completion Rate</t>
        </is>
      </c>
      <c r="E6" s="4" t="inlineStr">
        <is>
          <t>Avg Fulfill(h)</t>
        </is>
      </c>
      <c r="F6" s="4" t="inlineStr">
        <is>
          <t>CSAT</t>
        </is>
      </c>
    </row>
    <row r="7" ht="18" customHeight="1">
      <c r="A7" s="5" t="inlineStr">
        <is>
          <t>Access</t>
        </is>
      </c>
      <c r="B7" s="13" t="n">
        <v>20</v>
      </c>
      <c r="C7" s="5" t="inlineStr">
        <is>
          <t>40.0%</t>
        </is>
      </c>
      <c r="D7" s="5" t="inlineStr">
        <is>
          <t>65.0%</t>
        </is>
      </c>
      <c r="E7" s="5" t="inlineStr">
        <is>
          <t>24.6</t>
        </is>
      </c>
      <c r="F7" s="5" t="inlineStr">
        <is>
          <t>3.77</t>
        </is>
      </c>
    </row>
    <row r="8" ht="18" customHeight="1">
      <c r="A8" s="6" t="inlineStr">
        <is>
          <t>Provisioning</t>
        </is>
      </c>
      <c r="B8" s="14" t="n">
        <v>14</v>
      </c>
      <c r="C8" s="6" t="inlineStr">
        <is>
          <t>28.0%</t>
        </is>
      </c>
      <c r="D8" s="6" t="inlineStr">
        <is>
          <t>64.3%</t>
        </is>
      </c>
      <c r="E8" s="6" t="inlineStr">
        <is>
          <t>45.9</t>
        </is>
      </c>
      <c r="F8" s="6" t="inlineStr">
        <is>
          <t>3.56</t>
        </is>
      </c>
    </row>
    <row r="9" ht="18" customHeight="1">
      <c r="A9" s="5" t="inlineStr">
        <is>
          <t>Standard Change</t>
        </is>
      </c>
      <c r="B9" s="13" t="n">
        <v>7</v>
      </c>
      <c r="C9" s="5" t="inlineStr">
        <is>
          <t>14.0%</t>
        </is>
      </c>
      <c r="D9" s="5" t="inlineStr">
        <is>
          <t>57.1%</t>
        </is>
      </c>
      <c r="E9" s="5" t="inlineStr">
        <is>
          <t>41.2</t>
        </is>
      </c>
      <c r="F9" s="5" t="inlineStr">
        <is>
          <t>3.00</t>
        </is>
      </c>
    </row>
    <row r="10" ht="18" customHeight="1">
      <c r="A10" s="6" t="inlineStr">
        <is>
          <t>Information</t>
        </is>
      </c>
      <c r="B10" s="14" t="n">
        <v>9</v>
      </c>
      <c r="C10" s="6" t="inlineStr">
        <is>
          <t>18.0%</t>
        </is>
      </c>
      <c r="D10" s="6" t="inlineStr">
        <is>
          <t>77.8%</t>
        </is>
      </c>
      <c r="E10" s="6" t="inlineStr">
        <is>
          <t>39.3</t>
        </is>
      </c>
      <c r="F10" s="6" t="inlineStr">
        <is>
          <t>3.71</t>
        </is>
      </c>
    </row>
    <row r="11" ht="10" customHeight="1"/>
    <row r="12" ht="26" customHeight="1">
      <c r="A12" s="3" t="inlineStr">
        <is>
          <t>CSAT Distribution</t>
        </is>
      </c>
    </row>
    <row r="13" ht="20" customHeight="1">
      <c r="A13" s="4" t="inlineStr">
        <is>
          <t>Score</t>
        </is>
      </c>
      <c r="B13" s="4" t="inlineStr">
        <is>
          <t>Label</t>
        </is>
      </c>
      <c r="C13" s="4" t="inlineStr">
        <is>
          <t>Count</t>
        </is>
      </c>
      <c r="D13" s="4" t="inlineStr">
        <is>
          <t>%</t>
        </is>
      </c>
      <c r="E13" s="4" t="inlineStr">
        <is>
          <t>Cum%</t>
        </is>
      </c>
    </row>
    <row r="14" ht="18" customHeight="1">
      <c r="A14" s="5" t="inlineStr">
        <is>
          <t>5</t>
        </is>
      </c>
      <c r="B14" s="5" t="inlineStr">
        <is>
          <t>Very Satisfied</t>
        </is>
      </c>
      <c r="C14" s="13" t="n">
        <v>10</v>
      </c>
      <c r="D14" s="5" t="inlineStr">
        <is>
          <t>30.3%</t>
        </is>
      </c>
      <c r="E14" s="5" t="inlineStr">
        <is>
          <t>30.3%</t>
        </is>
      </c>
    </row>
    <row r="15" ht="18" customHeight="1">
      <c r="A15" s="6" t="inlineStr">
        <is>
          <t>4</t>
        </is>
      </c>
      <c r="B15" s="6" t="inlineStr">
        <is>
          <t>Satisfied</t>
        </is>
      </c>
      <c r="C15" s="14" t="n">
        <v>9</v>
      </c>
      <c r="D15" s="6" t="inlineStr">
        <is>
          <t>27.3%</t>
        </is>
      </c>
      <c r="E15" s="6" t="inlineStr">
        <is>
          <t>57.6%</t>
        </is>
      </c>
    </row>
    <row r="16" ht="18" customHeight="1">
      <c r="A16" s="5" t="inlineStr">
        <is>
          <t>3</t>
        </is>
      </c>
      <c r="B16" s="5" t="inlineStr">
        <is>
          <t>Neutral</t>
        </is>
      </c>
      <c r="C16" s="13" t="n">
        <v>7</v>
      </c>
      <c r="D16" s="5" t="inlineStr">
        <is>
          <t>21.2%</t>
        </is>
      </c>
      <c r="E16" s="5" t="inlineStr">
        <is>
          <t>78.8%</t>
        </is>
      </c>
    </row>
    <row r="17" ht="18" customHeight="1">
      <c r="A17" s="6" t="inlineStr">
        <is>
          <t>2</t>
        </is>
      </c>
      <c r="B17" s="6" t="inlineStr">
        <is>
          <t>Dissatisfied</t>
        </is>
      </c>
      <c r="C17" s="14" t="n">
        <v>5</v>
      </c>
      <c r="D17" s="6" t="inlineStr">
        <is>
          <t>15.2%</t>
        </is>
      </c>
      <c r="E17" s="6" t="inlineStr">
        <is>
          <t>93.9%</t>
        </is>
      </c>
    </row>
    <row r="18" ht="18" customHeight="1">
      <c r="A18" s="5" t="inlineStr">
        <is>
          <t>1</t>
        </is>
      </c>
      <c r="B18" s="5" t="inlineStr">
        <is>
          <t>Very Dissatisfied</t>
        </is>
      </c>
      <c r="C18" s="13" t="n">
        <v>2</v>
      </c>
      <c r="D18" s="5" t="inlineStr">
        <is>
          <t>6.1%</t>
        </is>
      </c>
      <c r="E18" s="5" t="inlineStr">
        <is>
          <t>100.0%</t>
        </is>
      </c>
    </row>
    <row r="19" ht="10" customHeight="1"/>
    <row r="20" ht="26" customHeight="1">
      <c r="A20" s="3" t="inlineStr">
        <is>
          <t>Visual Analysis</t>
        </is>
      </c>
    </row>
    <row r="21" ht="16" customHeight="1">
      <c r="A21" s="8" t="inlineStr">
        <is>
          <t>Request distribution by type</t>
        </is>
      </c>
    </row>
    <row r="48" ht="16" customHeight="1">
      <c r="A48" s="8" t="inlineStr">
        <is>
          <t>Customer satisfaction score distribution</t>
        </is>
      </c>
    </row>
    <row r="75" ht="16" customHeight="1">
      <c r="A75" s="8" t="inlineStr">
        <is>
          <t>Monthly request volume and average CSAT</t>
        </is>
      </c>
    </row>
    <row r="102" ht="16" customHeight="1">
      <c r="A102" s="8" t="inlineStr">
        <is>
          <t>Fulfillment time statistics by request type</t>
        </is>
      </c>
    </row>
    <row r="129">
      <c r="A129" s="15" t="inlineStr">
        <is>
          <t>Request Type × Department Heatmap</t>
        </is>
      </c>
    </row>
    <row r="130">
      <c r="A130" t="inlineStr">
        <is>
          <t>Request Type</t>
        </is>
      </c>
      <c r="B130" t="inlineStr">
        <is>
          <t>Billing</t>
        </is>
      </c>
      <c r="C130" t="inlineStr">
        <is>
          <t>Customer Service</t>
        </is>
      </c>
      <c r="D130" t="inlineStr">
        <is>
          <t>Finance</t>
        </is>
      </c>
      <c r="E130" t="inlineStr">
        <is>
          <t>HR</t>
        </is>
      </c>
      <c r="F130" t="inlineStr">
        <is>
          <t>Marketing</t>
        </is>
      </c>
      <c r="G130" t="inlineStr">
        <is>
          <t>Network Operations</t>
        </is>
      </c>
      <c r="H130" t="inlineStr">
        <is>
          <t>Operations</t>
        </is>
      </c>
      <c r="I130" t="inlineStr">
        <is>
          <t>Product Management</t>
        </is>
      </c>
      <c r="J130" t="inlineStr">
        <is>
          <t>Sales</t>
        </is>
      </c>
      <c r="K130" t="inlineStr">
        <is>
          <t>Technical Support</t>
        </is>
      </c>
    </row>
    <row r="131">
      <c r="A131" t="inlineStr">
        <is>
          <t>Access</t>
        </is>
      </c>
      <c r="B131" t="n">
        <v>2</v>
      </c>
      <c r="C131" t="n">
        <v>0</v>
      </c>
      <c r="D131" t="n">
        <v>4</v>
      </c>
      <c r="E131" t="n">
        <v>3</v>
      </c>
      <c r="F131" t="n">
        <v>1</v>
      </c>
      <c r="G131" t="n">
        <v>4</v>
      </c>
      <c r="H131" t="n">
        <v>2</v>
      </c>
      <c r="I131" t="n">
        <v>4</v>
      </c>
      <c r="J131" t="n">
        <v>0</v>
      </c>
      <c r="K131" t="n">
        <v>0</v>
      </c>
    </row>
    <row r="132">
      <c r="A132" t="inlineStr">
        <is>
          <t>Information</t>
        </is>
      </c>
      <c r="B132" t="n">
        <v>1</v>
      </c>
      <c r="C132" t="n">
        <v>0</v>
      </c>
      <c r="D132" t="n">
        <v>0</v>
      </c>
      <c r="E132" t="n">
        <v>0</v>
      </c>
      <c r="F132" t="n">
        <v>1</v>
      </c>
      <c r="G132" t="n">
        <v>0</v>
      </c>
      <c r="H132" t="n">
        <v>2</v>
      </c>
      <c r="I132" t="n">
        <v>2</v>
      </c>
      <c r="J132" t="n">
        <v>2</v>
      </c>
      <c r="K132" t="n">
        <v>1</v>
      </c>
    </row>
    <row r="133">
      <c r="A133" t="inlineStr">
        <is>
          <t>Provisioning</t>
        </is>
      </c>
      <c r="B133" t="n">
        <v>1</v>
      </c>
      <c r="C133" t="n">
        <v>3</v>
      </c>
      <c r="D133" t="n">
        <v>2</v>
      </c>
      <c r="E133" t="n">
        <v>0</v>
      </c>
      <c r="F133" t="n">
        <v>2</v>
      </c>
      <c r="G133" t="n">
        <v>1</v>
      </c>
      <c r="H133" t="n">
        <v>1</v>
      </c>
      <c r="I133" t="n">
        <v>1</v>
      </c>
      <c r="J133" t="n">
        <v>2</v>
      </c>
      <c r="K133" t="n">
        <v>1</v>
      </c>
    </row>
    <row r="134">
      <c r="A134" t="inlineStr">
        <is>
          <t>Standard Change</t>
        </is>
      </c>
      <c r="B134" t="n">
        <v>1</v>
      </c>
      <c r="C134" t="n">
        <v>0</v>
      </c>
      <c r="D134" t="n">
        <v>0</v>
      </c>
      <c r="E134" t="n">
        <v>0</v>
      </c>
      <c r="F134" t="n">
        <v>0</v>
      </c>
      <c r="G134" t="n">
        <v>1</v>
      </c>
      <c r="H134" t="n">
        <v>1</v>
      </c>
      <c r="I134" t="n">
        <v>1</v>
      </c>
      <c r="J134" t="n">
        <v>3</v>
      </c>
      <c r="K134" t="n">
        <v>0</v>
      </c>
    </row>
    <row r="136" ht="10" customHeight="1"/>
    <row r="137" ht="26" customHeight="1">
      <c r="A137" s="9" t="inlineStr">
        <is>
          <t>🤖 AI Insight</t>
        </is>
      </c>
    </row>
    <row r="138" ht="30" customHeight="1">
      <c r="A138" s="11" t="inlineStr">
        <is>
          <t>📌 Finding:</t>
        </is>
      </c>
    </row>
    <row r="139" ht="30" customHeight="1">
      <c r="A139" s="10" t="inlineStr">
        <is>
          <t>1. **Customer satisfaction is below target** with a CSAT score of 3.61/5, indicating a neutral-to-slightly positive experience that falls short of the typical 4.0+ benchmark for high-performing service teams.</t>
        </is>
      </c>
    </row>
    <row r="140" ht="30" customHeight="1">
      <c r="A140" s="10" t="inlineStr">
        <is>
          <t>2. **SLA compliance is suboptimal** at 75.8%, meaning nearly one in four requests (24.2%) are not resolved within agreed service windows, directly impacting reliability perceptions.</t>
        </is>
      </c>
    </row>
    <row r="141" ht="6" customHeight="1"/>
    <row r="142" ht="30" customHeight="1">
      <c r="A142" s="11" t="inlineStr">
        <is>
          <t>🔍 Root Cause:</t>
        </is>
      </c>
    </row>
    <row r="143" ht="30" customHeight="1">
      <c r="A143" s="10" t="inlineStr">
        <is>
          <t>- **Process &amp; Technology**: The 24.2% SLA miss rate suggests either inadequate workflow automation, insufficient agent capacity, or unclear prioritization rules, leading to delays in ticket routing and resolution.</t>
        </is>
      </c>
    </row>
    <row r="144" ht="30" customHeight="1">
      <c r="A144" s="10" t="inlineStr">
        <is>
          <t>- **People &amp; Management**: Low CSAT (3.61) correlates with SLA gaps; customers likely experience inconsistent service quality due to uneven agent training, lack of standardized resolution procedures, or inadequate escalation paths, as reflected in the direct feedback underlying the score.</t>
        </is>
      </c>
    </row>
    <row r="145" ht="6" customHeight="1"/>
    <row r="146" ht="30" customHeight="1">
      <c r="A146" s="11" t="inlineStr">
        <is>
          <t>💡 Recommendations:</t>
        </is>
      </c>
    </row>
    <row r="147" ht="30" customHeight="1">
      <c r="A147" s="10" t="inlineStr">
        <is>
          <t>Implement a weekly review of SLA-missed tickets to identify recurring resolution bottlenecks.</t>
        </is>
      </c>
    </row>
    <row r="148" ht="30" customHeight="1">
      <c r="A148" s="10" t="inlineStr">
        <is>
          <t>Introduce targeted CSAT feedback follow-ups for scores below 4 to capture specific pain points.</t>
        </is>
      </c>
    </row>
    <row r="149" ht="6" customHeight="1"/>
    <row r="150" ht="30" customHeight="1">
      <c r="A150" s="11" t="inlineStr">
        <is>
          <t>📈 Expected Impact:</t>
        </is>
      </c>
    </row>
    <row r="151" ht="30" customHeight="1">
      <c r="A151" s="10" t="inlineStr">
        <is>
          <t>Increasing SLA compliance to 90%+ and CSAT to 4.0+ within the next quarter.</t>
        </is>
      </c>
    </row>
    <row r="152" ht="10" customHeight="1"/>
    <row r="153" ht="10" customHeight="1"/>
    <row r="154">
      <c r="A154" s="12" t="inlineStr">
        <is>
          <t>Generated by Customer Cross-Overview Report • 2026-01-31 09:36</t>
        </is>
      </c>
    </row>
  </sheetData>
  <mergeCells count="23">
    <mergeCell ref="A5:J5"/>
    <mergeCell ref="A150:J150"/>
    <mergeCell ref="A144:J144"/>
    <mergeCell ref="A140:J140"/>
    <mergeCell ref="A4:J4"/>
    <mergeCell ref="A20:J20"/>
    <mergeCell ref="A147:J147"/>
    <mergeCell ref="A102:J102"/>
    <mergeCell ref="A143:J143"/>
    <mergeCell ref="A148:J148"/>
    <mergeCell ref="A48:J48"/>
    <mergeCell ref="A142:J142"/>
    <mergeCell ref="A138:J138"/>
    <mergeCell ref="A1:J1"/>
    <mergeCell ref="A146:J146"/>
    <mergeCell ref="A137:J137"/>
    <mergeCell ref="A75:J75"/>
    <mergeCell ref="A139:J139"/>
    <mergeCell ref="A21:J21"/>
    <mergeCell ref="A154:J154"/>
    <mergeCell ref="A12:J12"/>
    <mergeCell ref="A2:J2"/>
    <mergeCell ref="A151:J151"/>
  </mergeCells>
  <conditionalFormatting sqref="B131:K134">
    <cfRule type="colorScale" priority="1">
      <colorScale>
        <cfvo type="min"/>
        <cfvo type="percentile" val="50"/>
        <cfvo type="max"/>
        <color rgb="00F7FCF5"/>
        <color rgb="00FEB24C"/>
        <color rgb="00E31A1C"/>
      </colorScale>
    </cfRule>
  </conditionalFormatting>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eab308"/>
    <outlinePr summaryBelow="1" summaryRight="1"/>
    <pageSetUpPr fitToPage="1"/>
  </sheetPr>
  <dimension ref="A1:J119"/>
  <sheetViews>
    <sheetView workbookViewId="0">
      <selection activeCell="A1" sqref="A1"/>
    </sheetView>
  </sheetViews>
  <sheetFormatPr baseColWidth="8" defaultRowHeight="15"/>
  <cols>
    <col width="20" customWidth="1" min="1" max="1"/>
    <col width="10" customWidth="1" min="2" max="2"/>
    <col width="10" customWidth="1" min="3" max="3"/>
    <col width="21" customWidth="1" min="4" max="4"/>
    <col width="12" customWidth="1" min="5" max="5"/>
    <col width="50" customWidth="1" min="6" max="6"/>
  </cols>
  <sheetData>
    <row r="1" ht="36" customHeight="1">
      <c r="A1" s="1" t="inlineStr">
        <is>
          <t>PRO_Analysis</t>
        </is>
      </c>
    </row>
    <row r="2" ht="22" customHeight="1">
      <c r="A2" s="2" t="inlineStr">
        <is>
          <t>2024-04-19 — 2025-07-06</t>
        </is>
      </c>
    </row>
    <row r="3" ht="10" customHeight="1"/>
    <row r="4" ht="26" customHeight="1">
      <c r="A4" s="3" t="inlineStr">
        <is>
          <t>Data Tables</t>
        </is>
      </c>
    </row>
    <row r="5" ht="26" customHeight="1">
      <c r="A5" s="3" t="inlineStr">
        <is>
          <t>Problem Status</t>
        </is>
      </c>
    </row>
    <row r="6" ht="20" customHeight="1">
      <c r="A6" s="4" t="inlineStr">
        <is>
          <t>Status</t>
        </is>
      </c>
      <c r="B6" s="4" t="inlineStr">
        <is>
          <t>Count</t>
        </is>
      </c>
      <c r="C6" s="4" t="inlineStr">
        <is>
          <t>%</t>
        </is>
      </c>
      <c r="D6" s="4" t="inlineStr">
        <is>
          <t>Avg Age(days)</t>
        </is>
      </c>
      <c r="E6" s="4" t="inlineStr">
        <is>
          <t>Suggestion</t>
        </is>
      </c>
    </row>
    <row r="7" ht="18" customHeight="1">
      <c r="A7" s="5" t="inlineStr">
        <is>
          <t>Known Error</t>
        </is>
      </c>
      <c r="B7" s="13" t="n">
        <v>14</v>
      </c>
      <c r="C7" s="5" t="inlineStr">
        <is>
          <t>28.0%</t>
        </is>
      </c>
      <c r="D7" s="5" t="inlineStr">
        <is>
          <t>412</t>
        </is>
      </c>
      <c r="E7" s="5" t="inlineStr">
        <is>
          <t>Prioritize permanent fix implementation</t>
        </is>
      </c>
    </row>
    <row r="8" ht="18" customHeight="1">
      <c r="A8" s="6" t="inlineStr">
        <is>
          <t>Resolved</t>
        </is>
      </c>
      <c r="B8" s="14" t="n">
        <v>16</v>
      </c>
      <c r="C8" s="6" t="inlineStr">
        <is>
          <t>32.0%</t>
        </is>
      </c>
      <c r="D8" s="6" t="inlineStr">
        <is>
          <t>408</t>
        </is>
      </c>
      <c r="E8" s="6" t="inlineStr">
        <is>
          <t>Verify fix effectiveness</t>
        </is>
      </c>
    </row>
    <row r="9" ht="18" customHeight="1">
      <c r="A9" s="5" t="inlineStr">
        <is>
          <t>Closed</t>
        </is>
      </c>
      <c r="B9" s="13" t="n">
        <v>8</v>
      </c>
      <c r="C9" s="5" t="inlineStr">
        <is>
          <t>16.0%</t>
        </is>
      </c>
      <c r="D9" s="5" t="inlineStr">
        <is>
          <t>411</t>
        </is>
      </c>
      <c r="E9" s="5" t="inlineStr">
        <is>
          <t>Archive and update knowledge base</t>
        </is>
      </c>
    </row>
    <row r="10" ht="18" customHeight="1">
      <c r="A10" s="6" t="inlineStr">
        <is>
          <t>Under Investigation</t>
        </is>
      </c>
      <c r="B10" s="14" t="n">
        <v>10</v>
      </c>
      <c r="C10" s="6" t="inlineStr">
        <is>
          <t>20.0%</t>
        </is>
      </c>
      <c r="D10" s="6" t="inlineStr">
        <is>
          <t>406</t>
        </is>
      </c>
      <c r="E10" s="6" t="inlineStr">
        <is>
          <t>Review and update status</t>
        </is>
      </c>
    </row>
    <row r="11" ht="18" customHeight="1">
      <c r="A11" s="5" t="inlineStr">
        <is>
          <t>New</t>
        </is>
      </c>
      <c r="B11" s="13" t="n">
        <v>2</v>
      </c>
      <c r="C11" s="5" t="inlineStr">
        <is>
          <t>4.0%</t>
        </is>
      </c>
      <c r="D11" s="5" t="inlineStr">
        <is>
          <t>412</t>
        </is>
      </c>
      <c r="E11" s="5" t="inlineStr">
        <is>
          <t>Review and update status</t>
        </is>
      </c>
    </row>
    <row r="12" ht="10" customHeight="1"/>
    <row r="13" ht="26" customHeight="1">
      <c r="A13" s="3" t="inlineStr">
        <is>
          <t>Root Cause Categories</t>
        </is>
      </c>
    </row>
    <row r="14" ht="20" customHeight="1">
      <c r="A14" s="4" t="inlineStr">
        <is>
          <t>Category</t>
        </is>
      </c>
      <c r="B14" s="4" t="inlineStr">
        <is>
          <t>Count</t>
        </is>
      </c>
      <c r="C14" s="4" t="inlineStr">
        <is>
          <t>%</t>
        </is>
      </c>
      <c r="D14" s="4" t="inlineStr">
        <is>
          <t>Related Incidents</t>
        </is>
      </c>
      <c r="E14" s="4" t="inlineStr">
        <is>
          <t>Fix Rate</t>
        </is>
      </c>
      <c r="F14" s="4" t="inlineStr">
        <is>
          <t>Typical Problem</t>
        </is>
      </c>
    </row>
    <row r="15" ht="18" customHeight="1">
      <c r="A15" s="5" t="inlineStr">
        <is>
          <t>Technical Defect</t>
        </is>
      </c>
      <c r="B15" s="13" t="n">
        <v>15</v>
      </c>
      <c r="C15" s="5" t="inlineStr">
        <is>
          <t>30.0%</t>
        </is>
      </c>
      <c r="D15" s="13" t="n">
        <v>15</v>
      </c>
      <c r="E15" s="5" t="inlineStr">
        <is>
          <t>53.3%</t>
        </is>
      </c>
      <c r="F15" s="5" t="inlineStr">
        <is>
          <t>SMS notification delivery delays</t>
        </is>
      </c>
    </row>
    <row r="16" ht="18" customHeight="1">
      <c r="A16" s="6" t="inlineStr">
        <is>
          <t>Process Gap</t>
        </is>
      </c>
      <c r="B16" s="14" t="n">
        <v>8</v>
      </c>
      <c r="C16" s="6" t="inlineStr">
        <is>
          <t>16.0%</t>
        </is>
      </c>
      <c r="D16" s="14" t="n">
        <v>8</v>
      </c>
      <c r="E16" s="6" t="inlineStr">
        <is>
          <t>37.5%</t>
        </is>
      </c>
      <c r="F16" s="6" t="inlineStr">
        <is>
          <t>Web portal CSS rendering issues on mobile</t>
        </is>
      </c>
    </row>
    <row r="17" ht="18" customHeight="1">
      <c r="A17" s="5" t="inlineStr">
        <is>
          <t>Vendor Issue</t>
        </is>
      </c>
      <c r="B17" s="13" t="n">
        <v>11</v>
      </c>
      <c r="C17" s="5" t="inlineStr">
        <is>
          <t>22.0%</t>
        </is>
      </c>
      <c r="D17" s="13" t="n">
        <v>11</v>
      </c>
      <c r="E17" s="5" t="inlineStr">
        <is>
          <t>27.3%</t>
        </is>
      </c>
      <c r="F17" s="5" t="inlineStr">
        <is>
          <t>Payment gateway timeout for credit card transactions</t>
        </is>
      </c>
    </row>
    <row r="18" ht="18" customHeight="1">
      <c r="A18" s="6" t="inlineStr">
        <is>
          <t>Human Error</t>
        </is>
      </c>
      <c r="B18" s="14" t="n">
        <v>13</v>
      </c>
      <c r="C18" s="6" t="inlineStr">
        <is>
          <t>26.0%</t>
        </is>
      </c>
      <c r="D18" s="14" t="n">
        <v>13</v>
      </c>
      <c r="E18" s="6" t="inlineStr">
        <is>
          <t>23.1%</t>
        </is>
      </c>
      <c r="F18" s="6" t="inlineStr">
        <is>
          <t>Notification service message queue overflow</t>
        </is>
      </c>
    </row>
    <row r="19" ht="18" customHeight="1">
      <c r="A19" s="5" t="inlineStr">
        <is>
          <t>Unknown</t>
        </is>
      </c>
      <c r="B19" s="13" t="n">
        <v>3</v>
      </c>
      <c r="C19" s="5" t="inlineStr">
        <is>
          <t>6.0%</t>
        </is>
      </c>
      <c r="D19" s="13" t="n">
        <v>3</v>
      </c>
      <c r="E19" s="5" t="inlineStr">
        <is>
          <t>0.0%</t>
        </is>
      </c>
      <c r="F19" s="5" t="inlineStr">
        <is>
          <t>Intermittent billing calculation discrepancy</t>
        </is>
      </c>
    </row>
    <row r="20" ht="10" customHeight="1"/>
    <row r="21" ht="26" customHeight="1">
      <c r="A21" s="3" t="inlineStr">
        <is>
          <t>Visual Analysis</t>
        </is>
      </c>
    </row>
    <row r="22" ht="16" customHeight="1">
      <c r="A22" s="8" t="inlineStr">
        <is>
          <t>Problem status funnel distribution</t>
        </is>
      </c>
    </row>
    <row r="49" ht="16" customHeight="1">
      <c r="A49" s="8" t="inlineStr">
        <is>
          <t>Root cause category distribution</t>
        </is>
      </c>
    </row>
    <row r="76" ht="16" customHeight="1">
      <c r="A76" s="8" t="inlineStr">
        <is>
          <t>Monthly problem volume with cumulative trend</t>
        </is>
      </c>
    </row>
    <row r="103" ht="10" customHeight="1"/>
    <row r="104" ht="26" customHeight="1">
      <c r="A104" s="9" t="inlineStr">
        <is>
          <t>🤖 AI Insight</t>
        </is>
      </c>
    </row>
    <row r="105" ht="30" customHeight="1">
      <c r="A105" s="11" t="inlineStr">
        <is>
          <t>📌 Finding:</t>
        </is>
      </c>
    </row>
    <row r="106" ht="30" customHeight="1">
      <c r="A106" s="10" t="inlineStr">
        <is>
          <t>The problem closure rate of 48.0% is significantly below target, indicating that only 24 of 50 total problems have been resolved. While the RCA completion rate is high at 96.0% (48 of 50 problems have a root cause analysis), this has not translated into effective resolution, as evidenced by 5 problems remaining open beyond expected timelines.</t>
        </is>
      </c>
    </row>
    <row r="107" ht="6" customHeight="1"/>
    <row r="108" ht="30" customHeight="1">
      <c r="A108" s="11" t="inlineStr">
        <is>
          <t>🔍 Root Cause:</t>
        </is>
      </c>
    </row>
    <row r="109" ht="30" customHeight="1">
      <c r="A109" s="10" t="inlineStr">
        <is>
          <t>From a process perspective, the high RCA rate (96.0%) coupled with a low closure rate (48.0%) reveals a critical breakdown between analysis and resolution execution. Specifically, the data shows a 48-percentage-point gap (96.0% - 48.0%) where root causes are identified but not acted upon. From a management and technology standpoint, this suggests either inadequate assignment of corrective actions, lack of automated workflow to track implementation, or insufficient prioritization and resource allocation for solution deployment. The 5 open problems represent a 10.0% backlog (5/50) that likely consumes ongoing operational bandwidth.</t>
        </is>
      </c>
    </row>
    <row r="110" ht="6" customHeight="1"/>
    <row r="111" ht="30" customHeight="1">
      <c r="A111" s="11" t="inlineStr">
        <is>
          <t>💡 Recommendations:</t>
        </is>
      </c>
    </row>
    <row r="112" ht="30" customHeight="1">
      <c r="A112" s="10" t="inlineStr">
        <is>
          <t>Implement a mandatory corrective action tracking workflow linked to every completed RCA.</t>
        </is>
      </c>
    </row>
    <row r="113" ht="30" customHeight="1">
      <c r="A113" s="10" t="inlineStr">
        <is>
          <t>Establish a weekly review forum for problems with completed RCA but pending closure.</t>
        </is>
      </c>
    </row>
    <row r="114" ht="6" customHeight="1"/>
    <row r="115" ht="30" customHeight="1">
      <c r="A115" s="11" t="inlineStr">
        <is>
          <t>📈 Expected Impact:</t>
        </is>
      </c>
    </row>
    <row r="116" ht="30" customHeight="1">
      <c r="A116" s="10" t="inlineStr">
        <is>
          <t>This is expected to increase the problem closure rate by at least 25 percentage points within the next quarter.</t>
        </is>
      </c>
    </row>
    <row r="117" ht="10" customHeight="1"/>
    <row r="118" ht="10" customHeight="1"/>
    <row r="119">
      <c r="A119" s="12" t="inlineStr">
        <is>
          <t>Generated by Customer Cross-Overview Report • 2026-01-31 09:36</t>
        </is>
      </c>
    </row>
  </sheetData>
  <mergeCells count="20">
    <mergeCell ref="A116:J116"/>
    <mergeCell ref="A5:J5"/>
    <mergeCell ref="A22:J22"/>
    <mergeCell ref="A106:J106"/>
    <mergeCell ref="A109:J109"/>
    <mergeCell ref="A4:J4"/>
    <mergeCell ref="A112:J112"/>
    <mergeCell ref="A13:J13"/>
    <mergeCell ref="A115:J115"/>
    <mergeCell ref="A111:J111"/>
    <mergeCell ref="A49:J49"/>
    <mergeCell ref="A1:J1"/>
    <mergeCell ref="A119:J119"/>
    <mergeCell ref="A108:J108"/>
    <mergeCell ref="A21:J21"/>
    <mergeCell ref="A105:J105"/>
    <mergeCell ref="A113:J113"/>
    <mergeCell ref="A2:J2"/>
    <mergeCell ref="A104:J104"/>
    <mergeCell ref="A76:J76"/>
  </mergeCells>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tabColor rgb="0006b6d4"/>
    <outlinePr summaryBelow="1" summaryRight="1"/>
    <pageSetUpPr fitToPage="1"/>
  </sheetPr>
  <dimension ref="A1:J66"/>
  <sheetViews>
    <sheetView workbookViewId="0">
      <selection activeCell="A1" sqref="A1"/>
    </sheetView>
  </sheetViews>
  <sheetFormatPr baseColWidth="8" defaultRowHeight="15"/>
  <cols>
    <col width="18" customWidth="1" min="1" max="1"/>
    <col width="10" customWidth="1" min="2" max="2"/>
    <col width="16" customWidth="1" min="3" max="3"/>
    <col width="18" customWidth="1" min="4" max="4"/>
    <col width="10" customWidth="1" min="5" max="5"/>
  </cols>
  <sheetData>
    <row r="1" ht="36" customHeight="1">
      <c r="A1" s="1" t="inlineStr">
        <is>
          <t>CRO_Cross-Process</t>
        </is>
      </c>
    </row>
    <row r="2" ht="22" customHeight="1">
      <c r="A2" s="2" t="inlineStr">
        <is>
          <t>2024-04-19 — 2025-07-06</t>
        </is>
      </c>
    </row>
    <row r="3" ht="10" customHeight="1"/>
    <row r="4" ht="26" customHeight="1">
      <c r="A4" s="3" t="inlineStr">
        <is>
          <t>Data Tables</t>
        </is>
      </c>
    </row>
    <row r="5" ht="26" customHeight="1">
      <c r="A5" s="3" t="inlineStr">
        <is>
          <t>Change → Incident Links</t>
        </is>
      </c>
    </row>
    <row r="6" ht="20" customHeight="1">
      <c r="A6" s="4" t="inlineStr">
        <is>
          <t>Source ID</t>
        </is>
      </c>
      <c r="B6" s="4" t="inlineStr">
        <is>
          <t>Type</t>
        </is>
      </c>
      <c r="C6" s="4" t="inlineStr">
        <is>
          <t>Target Count</t>
        </is>
      </c>
      <c r="D6" s="4" t="inlineStr">
        <is>
          <t>Target IDs</t>
        </is>
      </c>
      <c r="E6" s="4" t="inlineStr">
        <is>
          <t>Impact</t>
        </is>
      </c>
    </row>
    <row r="7" ht="18" customHeight="1">
      <c r="A7" s="5" t="inlineStr">
        <is>
          <t>CHG20250100008</t>
        </is>
      </c>
      <c r="B7" s="5" t="inlineStr">
        <is>
          <t>Change</t>
        </is>
      </c>
      <c r="C7" s="13" t="n">
        <v>1</v>
      </c>
      <c r="D7" s="5" t="inlineStr">
        <is>
          <t>INC20250104754</t>
        </is>
      </c>
      <c r="E7" s="5" t="inlineStr">
        <is>
          <t>Medium</t>
        </is>
      </c>
    </row>
    <row r="8" ht="18" customHeight="1">
      <c r="A8" s="6" t="inlineStr">
        <is>
          <t>CHG20250100012</t>
        </is>
      </c>
      <c r="B8" s="6" t="inlineStr">
        <is>
          <t>Change</t>
        </is>
      </c>
      <c r="C8" s="14" t="n">
        <v>1</v>
      </c>
      <c r="D8" s="6" t="inlineStr">
        <is>
          <t>INC20250102030</t>
        </is>
      </c>
      <c r="E8" s="6" t="inlineStr">
        <is>
          <t>Medium</t>
        </is>
      </c>
    </row>
    <row r="9" ht="18" customHeight="1">
      <c r="A9" s="5" t="inlineStr">
        <is>
          <t>CHG20250100014</t>
        </is>
      </c>
      <c r="B9" s="5" t="inlineStr">
        <is>
          <t>Change</t>
        </is>
      </c>
      <c r="C9" s="13" t="n">
        <v>1</v>
      </c>
      <c r="D9" s="5" t="inlineStr">
        <is>
          <t>INC20250119034</t>
        </is>
      </c>
      <c r="E9" s="5" t="inlineStr">
        <is>
          <t>Medium</t>
        </is>
      </c>
    </row>
    <row r="10" ht="18" customHeight="1">
      <c r="A10" s="6" t="inlineStr">
        <is>
          <t>CHG20250100042</t>
        </is>
      </c>
      <c r="B10" s="6" t="inlineStr">
        <is>
          <t>Change</t>
        </is>
      </c>
      <c r="C10" s="14" t="n">
        <v>1</v>
      </c>
      <c r="D10" s="6" t="inlineStr">
        <is>
          <t>INC20250102787</t>
        </is>
      </c>
      <c r="E10" s="6" t="inlineStr">
        <is>
          <t>Medium</t>
        </is>
      </c>
    </row>
    <row r="11" ht="18" customHeight="1">
      <c r="A11" s="5" t="inlineStr">
        <is>
          <t>CHG20250100043</t>
        </is>
      </c>
      <c r="B11" s="5" t="inlineStr">
        <is>
          <t>Change</t>
        </is>
      </c>
      <c r="C11" s="13" t="n">
        <v>1</v>
      </c>
      <c r="D11" s="5" t="inlineStr">
        <is>
          <t>INC20250102757</t>
        </is>
      </c>
      <c r="E11" s="5" t="inlineStr">
        <is>
          <t>Medium</t>
        </is>
      </c>
    </row>
    <row r="12" ht="18" customHeight="1">
      <c r="A12" s="6" t="inlineStr">
        <is>
          <t>CHG20250100045</t>
        </is>
      </c>
      <c r="B12" s="6" t="inlineStr">
        <is>
          <t>Change</t>
        </is>
      </c>
      <c r="C12" s="14" t="n">
        <v>1</v>
      </c>
      <c r="D12" s="6" t="inlineStr">
        <is>
          <t>INC20250110441</t>
        </is>
      </c>
      <c r="E12" s="6" t="inlineStr">
        <is>
          <t>Medium</t>
        </is>
      </c>
    </row>
    <row r="13" ht="18" customHeight="1">
      <c r="A13" s="5" t="inlineStr">
        <is>
          <t>CHG20250100046</t>
        </is>
      </c>
      <c r="B13" s="5" t="inlineStr">
        <is>
          <t>Change</t>
        </is>
      </c>
      <c r="C13" s="13" t="n">
        <v>1</v>
      </c>
      <c r="D13" s="5" t="inlineStr">
        <is>
          <t>INC20250106437</t>
        </is>
      </c>
      <c r="E13" s="5" t="inlineStr">
        <is>
          <t>Medium</t>
        </is>
      </c>
    </row>
    <row r="14" ht="18" customHeight="1">
      <c r="A14" s="6" t="inlineStr">
        <is>
          <t>CHG20250100047</t>
        </is>
      </c>
      <c r="B14" s="6" t="inlineStr">
        <is>
          <t>Change</t>
        </is>
      </c>
      <c r="C14" s="14" t="n">
        <v>1</v>
      </c>
      <c r="D14" s="6" t="inlineStr">
        <is>
          <t>INC20250108502</t>
        </is>
      </c>
      <c r="E14" s="6" t="inlineStr">
        <is>
          <t>Medium</t>
        </is>
      </c>
    </row>
    <row r="15" ht="18" customHeight="1">
      <c r="A15" s="5" t="inlineStr">
        <is>
          <t>CHG20250100049</t>
        </is>
      </c>
      <c r="B15" s="5" t="inlineStr">
        <is>
          <t>Change</t>
        </is>
      </c>
      <c r="C15" s="13" t="n">
        <v>1</v>
      </c>
      <c r="D15" s="5" t="inlineStr">
        <is>
          <t>INC20250118780</t>
        </is>
      </c>
      <c r="E15" s="5" t="inlineStr">
        <is>
          <t>Medium</t>
        </is>
      </c>
    </row>
    <row r="16" ht="10" customHeight="1"/>
    <row r="17" ht="26" customHeight="1">
      <c r="A17" s="3" t="inlineStr">
        <is>
          <t>Visual Analysis</t>
        </is>
      </c>
    </row>
    <row r="18" ht="16" customHeight="1">
      <c r="A18" s="8" t="inlineStr">
        <is>
          <t>Cross-process flow: changes causing incidents</t>
        </is>
      </c>
    </row>
    <row r="45" ht="10" customHeight="1"/>
    <row r="46" ht="26" customHeight="1">
      <c r="A46" s="9" t="inlineStr">
        <is>
          <t>🤖 AI Insight</t>
        </is>
      </c>
    </row>
    <row r="47" ht="30" customHeight="1">
      <c r="A47" s="11" t="inlineStr">
        <is>
          <t>📌 Finding:</t>
        </is>
      </c>
    </row>
    <row r="48" ht="30" customHeight="1">
      <c r="A48" s="10" t="inlineStr">
        <is>
          <t>1.  **Extremely High Incident Volume with Minimal Proactive Management:** The IT environment is experiencing a crisis-level volume of 8,977 incidents, which is 179.5 times greater than the number of recorded problems (50). This indicates that the vast majority of incidents are being handled reactively without effective root cause analysis to convert them into problems, leading to repetitive firefighting.</t>
        </is>
      </c>
    </row>
    <row r="49" ht="30" customHeight="1">
      <c r="A49" s="10" t="inlineStr">
        <is>
          <t>2.  **Disproportionate Process Activity Suggests Silos:** The volumes of Changes, Requests, and Problems are artificially balanced at 50 each, which is statistically improbable in a dynamic environment and strongly suggests data entry in silos or a lack of integrated process workflow. This balance contrasts starkly with the massive incident count, revealing a breakdown in the standard ITIL lifecycle where incidents should feed problems, and changes should resolve them.</t>
        </is>
      </c>
    </row>
    <row r="50" ht="30" customHeight="1">
      <c r="A50" s="10" t="inlineStr">
        <is>
          <t>3.  **Critical Health Score Correlates with Process Imbalance:** The overall Health Score of 33/100 (At Risk) is a direct outcome metric of the above findings. The failure to correlate incident data with problem and change management processes creates systemic instability, as evidenced by the 5 identified Top Risks, preventing the IT operations from achieving a stable state.</t>
        </is>
      </c>
    </row>
    <row r="51" ht="6" customHeight="1"/>
    <row r="52" ht="30" customHeight="1">
      <c r="A52" s="11" t="inlineStr">
        <is>
          <t>🔍 Root Cause:</t>
        </is>
      </c>
    </row>
    <row r="53" ht="30" customHeight="1">
      <c r="A53" s="10" t="inlineStr">
        <is>
          <t>A multi-dimensional breakdown in core IT Service Management (ITSM) processes is evident from the data:</t>
        </is>
      </c>
    </row>
    <row r="54" ht="30" customHeight="1">
      <c r="A54" s="10" t="inlineStr">
        <is>
          <t>*   **Process &amp; Technology:** The data implies either a severe underutilization of the problem management process or a technological barrier preventing the automatic grouping and promotion of related incidents into problem records. With an incident-to-problem ratio of 179.5:1, the problem management function is effectively non-operational as a proactive discipline.</t>
        </is>
      </c>
    </row>
    <row r="55" ht="30" customHeight="1">
      <c r="A55" s="10" t="inlineStr">
        <is>
          <t>*   **Management &amp; People:** The perfectly equal counts for Changes, Requests, and Problems (50 each) are a managerial red flag. This pattern typically indicates either poorly configured process workflows that do not connect (e.g., problems not generating change requests) or a cultural/compensatory issue where teams are measured on ticket closure counts rather than quality outcomes, leading to artificial data parity.</t>
        </is>
      </c>
    </row>
    <row r="56" ht="30" customHeight="1">
      <c r="A56" s="10" t="inlineStr">
        <is>
          <t>*   **Systemic Integration Failure:** The core root cause is the absence of meaningful integration between the incident, problem, and change management processes. Incidents are logged and closed in isolation. There is no data-driven feedback loop to initiate a problem record for recurring issues or to mandate a change for a permanent fix, resulting in the exponential incident load.</t>
        </is>
      </c>
    </row>
    <row r="57" ht="6" customHeight="1"/>
    <row r="58" ht="30" customHeight="1">
      <c r="A58" s="11" t="inlineStr">
        <is>
          <t>💡 Recommendations:</t>
        </is>
      </c>
    </row>
    <row r="59" ht="30" customHeight="1">
      <c r="A59" s="10" t="inlineStr">
        <is>
          <t>1.  Implement a mandatory rule in the ITSM tool to automatically create a problem record for any incident ticket that reopens more than twice within a 30-day period.</t>
        </is>
      </c>
    </row>
    <row r="60" ht="30" customHeight="1">
      <c r="A60" s="10" t="inlineStr">
        <is>
          <t>2.  Redesign the change management workflow to require a linked problem record as justification for any emergency change, forcing correlation between reactive fixes and permanent solutions.</t>
        </is>
      </c>
    </row>
    <row r="61" ht="6" customHeight="1"/>
    <row r="62" ht="30" customHeight="1">
      <c r="A62" s="11" t="inlineStr">
        <is>
          <t>📈 Expected Impact:</t>
        </is>
      </c>
    </row>
    <row r="63" ht="30" customHeight="1">
      <c r="A63" s="10" t="inlineStr">
        <is>
          <t>Implementing these measures is expected to reduce major incident recurrence by at least 25% within the next quarter, directly improving the Health Score from 33 toward a target of 50+.</t>
        </is>
      </c>
    </row>
    <row r="64" ht="10" customHeight="1"/>
    <row r="65" ht="10" customHeight="1"/>
    <row r="66">
      <c r="A66" s="12" t="inlineStr">
        <is>
          <t>Generated by Customer Cross-Overview Report • 2026-01-31 09:36</t>
        </is>
      </c>
    </row>
  </sheetData>
  <mergeCells count="22">
    <mergeCell ref="A47:J47"/>
    <mergeCell ref="A5:J5"/>
    <mergeCell ref="A17:J17"/>
    <mergeCell ref="A62:J62"/>
    <mergeCell ref="A53:J53"/>
    <mergeCell ref="A4:J4"/>
    <mergeCell ref="A52:J52"/>
    <mergeCell ref="A63:J63"/>
    <mergeCell ref="A58:J58"/>
    <mergeCell ref="A59:J59"/>
    <mergeCell ref="A48:J48"/>
    <mergeCell ref="A60:J60"/>
    <mergeCell ref="A49:J49"/>
    <mergeCell ref="A1:J1"/>
    <mergeCell ref="A54:J54"/>
    <mergeCell ref="A66:J66"/>
    <mergeCell ref="A46:J46"/>
    <mergeCell ref="A18:J18"/>
    <mergeCell ref="A56:J56"/>
    <mergeCell ref="A55:J55"/>
    <mergeCell ref="A50:J50"/>
    <mergeCell ref="A2:J2"/>
  </mergeCells>
  <pageMargins left="0.75" right="0.75" top="1" bottom="1" header="0.5" footer="0.5"/>
  <pageSetup orientation="landscape" fitToHeight="0" fitToWidth="1"/>
  <drawing xmlns:r="http://schemas.openxmlformats.org/officeDocument/2006/relationships" r:id="rId1"/>
</worksheet>
</file>

<file path=xl/worksheets/sheet9.xml><?xml version="1.0" encoding="utf-8"?>
<worksheet xmlns="http://schemas.openxmlformats.org/spreadsheetml/2006/main">
  <sheetPr>
    <tabColor rgb="00f97316"/>
    <outlinePr summaryBelow="1" summaryRight="1"/>
    <pageSetUpPr fitToPage="1"/>
  </sheetPr>
  <dimension ref="A1:T136"/>
  <sheetViews>
    <sheetView workbookViewId="0">
      <selection activeCell="A1" sqref="A1"/>
    </sheetView>
  </sheetViews>
  <sheetFormatPr baseColWidth="8" defaultRowHeight="15"/>
  <cols>
    <col width="32" customWidth="1" min="1" max="1"/>
    <col width="12" customWidth="1" min="2" max="2"/>
    <col width="21" customWidth="1" min="3" max="3"/>
    <col width="12" customWidth="1" min="4" max="4"/>
    <col width="10" customWidth="1" min="5" max="5"/>
    <col width="12" customWidth="1" min="6" max="6"/>
    <col width="11" customWidth="1" min="7" max="7"/>
    <col width="10" customWidth="1" min="8" max="8"/>
    <col width="27" customWidth="1" min="9" max="9"/>
  </cols>
  <sheetData>
    <row r="1" ht="36" customHeight="1">
      <c r="A1" s="1" t="inlineStr">
        <is>
          <t>CRO_Personnel</t>
        </is>
      </c>
    </row>
    <row r="2" ht="22" customHeight="1">
      <c r="A2" s="2" t="inlineStr">
        <is>
          <t>2024-04-19 — 2025-07-06</t>
        </is>
      </c>
    </row>
    <row r="3" ht="10" customHeight="1"/>
    <row r="4" ht="26" customHeight="1">
      <c r="A4" s="3" t="inlineStr">
        <is>
          <t>Data Tables</t>
        </is>
      </c>
    </row>
    <row r="5" ht="26" customHeight="1">
      <c r="A5" s="3" t="inlineStr">
        <is>
          <t>Personnel Performance</t>
        </is>
      </c>
    </row>
    <row r="6" ht="20" customHeight="1">
      <c r="A6" s="4" t="inlineStr">
        <is>
          <t>Name</t>
        </is>
      </c>
      <c r="B6" s="4" t="inlineStr">
        <is>
          <t>Count</t>
        </is>
      </c>
      <c r="C6" s="4" t="inlineStr">
        <is>
          <t>%</t>
        </is>
      </c>
      <c r="D6" s="4" t="inlineStr">
        <is>
          <t>Avg Resolve</t>
        </is>
      </c>
      <c r="E6" s="4" t="inlineStr">
        <is>
          <t>Completion</t>
        </is>
      </c>
      <c r="F6" s="4" t="inlineStr">
        <is>
          <t>Resp SLA</t>
        </is>
      </c>
      <c r="G6" s="4" t="inlineStr">
        <is>
          <t>Res SLA</t>
        </is>
      </c>
      <c r="H6" s="4" t="inlineStr">
        <is>
          <t>Rating</t>
        </is>
      </c>
      <c r="I6" s="4" t="inlineStr">
        <is>
          <t>Specialty</t>
        </is>
      </c>
    </row>
    <row r="7" ht="18" customHeight="1">
      <c r="A7" s="5" t="inlineStr">
        <is>
          <t>Susan Smith</t>
        </is>
      </c>
      <c r="B7" s="13" t="n">
        <v>361</v>
      </c>
      <c r="C7" s="5" t="inlineStr">
        <is>
          <t>4.0%</t>
        </is>
      </c>
      <c r="D7" s="5" t="inlineStr">
        <is>
          <t>24.2h</t>
        </is>
      </c>
      <c r="E7" s="5" t="inlineStr">
        <is>
          <t>99.4%</t>
        </is>
      </c>
      <c r="F7" s="5" t="inlineStr">
        <is>
          <t>99.4%</t>
        </is>
      </c>
      <c r="G7" s="5" t="inlineStr">
        <is>
          <t>65.7%</t>
        </is>
      </c>
      <c r="H7" s="5" t="inlineStr">
        <is>
          <t>Fair</t>
        </is>
      </c>
      <c r="I7" s="5" t="inlineStr">
        <is>
          <t>Digital View Monitoring</t>
        </is>
      </c>
    </row>
    <row r="8" ht="18" customHeight="1">
      <c r="A8" s="6" t="inlineStr">
        <is>
          <t>Thomas Smith</t>
        </is>
      </c>
      <c r="B8" s="14" t="n">
        <v>389</v>
      </c>
      <c r="C8" s="6" t="inlineStr">
        <is>
          <t>4.3%</t>
        </is>
      </c>
      <c r="D8" s="6" t="inlineStr">
        <is>
          <t>2.2d</t>
        </is>
      </c>
      <c r="E8" s="6" t="inlineStr">
        <is>
          <t>99.5%</t>
        </is>
      </c>
      <c r="F8" s="6" t="inlineStr">
        <is>
          <t>100.0%</t>
        </is>
      </c>
      <c r="G8" s="6" t="inlineStr">
        <is>
          <t>63.5%</t>
        </is>
      </c>
      <c r="H8" s="6" t="inlineStr">
        <is>
          <t>Fair</t>
        </is>
      </c>
      <c r="I8" s="6" t="inlineStr">
        <is>
          <t>Digital View Monitoring</t>
        </is>
      </c>
    </row>
    <row r="9" ht="18" customHeight="1">
      <c r="A9" s="5" t="inlineStr">
        <is>
          <t>Elizabeth Smith</t>
        </is>
      </c>
      <c r="B9" s="13" t="n">
        <v>381</v>
      </c>
      <c r="C9" s="5" t="inlineStr">
        <is>
          <t>4.2%</t>
        </is>
      </c>
      <c r="D9" s="5" t="inlineStr">
        <is>
          <t>25.8h</t>
        </is>
      </c>
      <c r="E9" s="5" t="inlineStr">
        <is>
          <t>99.2%</t>
        </is>
      </c>
      <c r="F9" s="5" t="inlineStr">
        <is>
          <t>100.0%</t>
        </is>
      </c>
      <c r="G9" s="5" t="inlineStr">
        <is>
          <t>60.9%</t>
        </is>
      </c>
      <c r="H9" s="5" t="inlineStr">
        <is>
          <t>Fair</t>
        </is>
      </c>
      <c r="I9" s="5" t="inlineStr">
        <is>
          <t>Digital View Monitoring</t>
        </is>
      </c>
    </row>
    <row r="10" ht="18" customHeight="1">
      <c r="A10" s="6" t="inlineStr">
        <is>
          <t>Barbara Smith</t>
        </is>
      </c>
      <c r="B10" s="14" t="n">
        <v>374</v>
      </c>
      <c r="C10" s="6" t="inlineStr">
        <is>
          <t>4.2%</t>
        </is>
      </c>
      <c r="D10" s="6" t="inlineStr">
        <is>
          <t>23.4h</t>
        </is>
      </c>
      <c r="E10" s="6" t="inlineStr">
        <is>
          <t>100.0%</t>
        </is>
      </c>
      <c r="F10" s="6" t="inlineStr">
        <is>
          <t>100.0%</t>
        </is>
      </c>
      <c r="G10" s="6" t="inlineStr">
        <is>
          <t>68.7%</t>
        </is>
      </c>
      <c r="H10" s="6" t="inlineStr">
        <is>
          <t>Fair</t>
        </is>
      </c>
      <c r="I10" s="6" t="inlineStr">
        <is>
          <t>Digital View Monitoring</t>
        </is>
      </c>
    </row>
    <row r="11" ht="18" customHeight="1">
      <c r="A11" s="5" t="inlineStr">
        <is>
          <t>Jessica Smith</t>
        </is>
      </c>
      <c r="B11" s="13" t="n">
        <v>414</v>
      </c>
      <c r="C11" s="5" t="inlineStr">
        <is>
          <t>4.6%</t>
        </is>
      </c>
      <c r="D11" s="5" t="inlineStr">
        <is>
          <t>25.2h</t>
        </is>
      </c>
      <c r="E11" s="5" t="inlineStr">
        <is>
          <t>99.0%</t>
        </is>
      </c>
      <c r="F11" s="5" t="inlineStr">
        <is>
          <t>100.0%</t>
        </is>
      </c>
      <c r="G11" s="5" t="inlineStr">
        <is>
          <t>62.8%</t>
        </is>
      </c>
      <c r="H11" s="5" t="inlineStr">
        <is>
          <t>Fair</t>
        </is>
      </c>
      <c r="I11" s="5" t="inlineStr">
        <is>
          <t>Digital View Monitoring</t>
        </is>
      </c>
    </row>
    <row r="12" ht="18" customHeight="1">
      <c r="A12" s="6" t="inlineStr">
        <is>
          <t>Linda Smith</t>
        </is>
      </c>
      <c r="B12" s="14" t="n">
        <v>360</v>
      </c>
      <c r="C12" s="6" t="inlineStr">
        <is>
          <t>4.0%</t>
        </is>
      </c>
      <c r="D12" s="6" t="inlineStr">
        <is>
          <t>28.5h</t>
        </is>
      </c>
      <c r="E12" s="6" t="inlineStr">
        <is>
          <t>99.4%</t>
        </is>
      </c>
      <c r="F12" s="6" t="inlineStr">
        <is>
          <t>100.0%</t>
        </is>
      </c>
      <c r="G12" s="6" t="inlineStr">
        <is>
          <t>64.4%</t>
        </is>
      </c>
      <c r="H12" s="6" t="inlineStr">
        <is>
          <t>Fair</t>
        </is>
      </c>
      <c r="I12" s="6" t="inlineStr">
        <is>
          <t>Digital View Monitoring</t>
        </is>
      </c>
    </row>
    <row r="13" ht="18" customHeight="1">
      <c r="A13" s="5" t="inlineStr">
        <is>
          <t>Daniel Smith</t>
        </is>
      </c>
      <c r="B13" s="13" t="n">
        <v>375</v>
      </c>
      <c r="C13" s="5" t="inlineStr">
        <is>
          <t>4.2%</t>
        </is>
      </c>
      <c r="D13" s="5" t="inlineStr">
        <is>
          <t>2.1d</t>
        </is>
      </c>
      <c r="E13" s="5" t="inlineStr">
        <is>
          <t>99.5%</t>
        </is>
      </c>
      <c r="F13" s="5" t="inlineStr">
        <is>
          <t>99.7%</t>
        </is>
      </c>
      <c r="G13" s="5" t="inlineStr">
        <is>
          <t>63.2%</t>
        </is>
      </c>
      <c r="H13" s="5" t="inlineStr">
        <is>
          <t>Fair</t>
        </is>
      </c>
      <c r="I13" s="5" t="inlineStr">
        <is>
          <t>Digital View Monitoring</t>
        </is>
      </c>
    </row>
    <row r="14" ht="18" customHeight="1">
      <c r="A14" s="6" t="inlineStr">
        <is>
          <t>Sarah Smith</t>
        </is>
      </c>
      <c r="B14" s="14" t="n">
        <v>379</v>
      </c>
      <c r="C14" s="6" t="inlineStr">
        <is>
          <t>4.2%</t>
        </is>
      </c>
      <c r="D14" s="6" t="inlineStr">
        <is>
          <t>23.4h</t>
        </is>
      </c>
      <c r="E14" s="6" t="inlineStr">
        <is>
          <t>99.5%</t>
        </is>
      </c>
      <c r="F14" s="6" t="inlineStr">
        <is>
          <t>99.7%</t>
        </is>
      </c>
      <c r="G14" s="6" t="inlineStr">
        <is>
          <t>63.6%</t>
        </is>
      </c>
      <c r="H14" s="6" t="inlineStr">
        <is>
          <t>Fair</t>
        </is>
      </c>
      <c r="I14" s="6" t="inlineStr">
        <is>
          <t>Digital View Monitoring</t>
        </is>
      </c>
    </row>
    <row r="15" ht="18" customHeight="1">
      <c r="A15" s="5" t="inlineStr">
        <is>
          <t>Karen Smith</t>
        </is>
      </c>
      <c r="B15" s="13" t="n">
        <v>379</v>
      </c>
      <c r="C15" s="5" t="inlineStr">
        <is>
          <t>4.2%</t>
        </is>
      </c>
      <c r="D15" s="5" t="inlineStr">
        <is>
          <t>24.1h</t>
        </is>
      </c>
      <c r="E15" s="5" t="inlineStr">
        <is>
          <t>99.7%</t>
        </is>
      </c>
      <c r="F15" s="5" t="inlineStr">
        <is>
          <t>100.0%</t>
        </is>
      </c>
      <c r="G15" s="5" t="inlineStr">
        <is>
          <t>62.8%</t>
        </is>
      </c>
      <c r="H15" s="5" t="inlineStr">
        <is>
          <t>Fair</t>
        </is>
      </c>
      <c r="I15" s="5" t="inlineStr">
        <is>
          <t>Digital View Monitoring</t>
        </is>
      </c>
    </row>
    <row r="16" ht="18" customHeight="1">
      <c r="A16" s="6" t="inlineStr">
        <is>
          <t>Charles Smith</t>
        </is>
      </c>
      <c r="B16" s="14" t="n">
        <v>381</v>
      </c>
      <c r="C16" s="6" t="inlineStr">
        <is>
          <t>4.2%</t>
        </is>
      </c>
      <c r="D16" s="6" t="inlineStr">
        <is>
          <t>25.3h</t>
        </is>
      </c>
      <c r="E16" s="6" t="inlineStr">
        <is>
          <t>99.5%</t>
        </is>
      </c>
      <c r="F16" s="6" t="inlineStr">
        <is>
          <t>99.7%</t>
        </is>
      </c>
      <c r="G16" s="6" t="inlineStr">
        <is>
          <t>63.5%</t>
        </is>
      </c>
      <c r="H16" s="6" t="inlineStr">
        <is>
          <t>Fair</t>
        </is>
      </c>
      <c r="I16" s="6" t="inlineStr">
        <is>
          <t>Digital View Monitoring</t>
        </is>
      </c>
    </row>
    <row r="17" ht="18" customHeight="1">
      <c r="A17" s="5" t="inlineStr">
        <is>
          <t>Lisa Smith</t>
        </is>
      </c>
      <c r="B17" s="13" t="n">
        <v>375</v>
      </c>
      <c r="C17" s="5" t="inlineStr">
        <is>
          <t>4.2%</t>
        </is>
      </c>
      <c r="D17" s="5" t="inlineStr">
        <is>
          <t>28.2h</t>
        </is>
      </c>
      <c r="E17" s="5" t="inlineStr">
        <is>
          <t>99.2%</t>
        </is>
      </c>
      <c r="F17" s="5" t="inlineStr">
        <is>
          <t>100.0%</t>
        </is>
      </c>
      <c r="G17" s="5" t="inlineStr">
        <is>
          <t>59.5%</t>
        </is>
      </c>
      <c r="H17" s="5" t="inlineStr">
        <is>
          <t>Fair</t>
        </is>
      </c>
      <c r="I17" s="5" t="inlineStr">
        <is>
          <t>Digital View Monitoring</t>
        </is>
      </c>
    </row>
    <row r="18" ht="18" customHeight="1">
      <c r="A18" s="6" t="inlineStr">
        <is>
          <t>Jennifer Smith</t>
        </is>
      </c>
      <c r="B18" s="14" t="n">
        <v>360</v>
      </c>
      <c r="C18" s="6" t="inlineStr">
        <is>
          <t>4.0%</t>
        </is>
      </c>
      <c r="D18" s="6" t="inlineStr">
        <is>
          <t>24.5h</t>
        </is>
      </c>
      <c r="E18" s="6" t="inlineStr">
        <is>
          <t>99.7%</t>
        </is>
      </c>
      <c r="F18" s="6" t="inlineStr">
        <is>
          <t>99.7%</t>
        </is>
      </c>
      <c r="G18" s="6" t="inlineStr">
        <is>
          <t>63.1%</t>
        </is>
      </c>
      <c r="H18" s="6" t="inlineStr">
        <is>
          <t>Fair</t>
        </is>
      </c>
      <c r="I18" s="6" t="inlineStr">
        <is>
          <t>Digital View Monitoring</t>
        </is>
      </c>
    </row>
    <row r="19" ht="18" customHeight="1">
      <c r="A19" s="5" t="inlineStr">
        <is>
          <t>Christopher Smith</t>
        </is>
      </c>
      <c r="B19" s="13" t="n">
        <v>384</v>
      </c>
      <c r="C19" s="5" t="inlineStr">
        <is>
          <t>4.3%</t>
        </is>
      </c>
      <c r="D19" s="5" t="inlineStr">
        <is>
          <t>26.5h</t>
        </is>
      </c>
      <c r="E19" s="5" t="inlineStr">
        <is>
          <t>99.5%</t>
        </is>
      </c>
      <c r="F19" s="5" t="inlineStr">
        <is>
          <t>99.7%</t>
        </is>
      </c>
      <c r="G19" s="5" t="inlineStr">
        <is>
          <t>64.1%</t>
        </is>
      </c>
      <c r="H19" s="5" t="inlineStr">
        <is>
          <t>Fair</t>
        </is>
      </c>
      <c r="I19" s="5" t="inlineStr">
        <is>
          <t>Digital View Monitoring</t>
        </is>
      </c>
    </row>
    <row r="20" ht="18" customHeight="1">
      <c r="A20" s="6" t="inlineStr">
        <is>
          <t>William Smith</t>
        </is>
      </c>
      <c r="B20" s="14" t="n">
        <v>377</v>
      </c>
      <c r="C20" s="6" t="inlineStr">
        <is>
          <t>4.2%</t>
        </is>
      </c>
      <c r="D20" s="6" t="inlineStr">
        <is>
          <t>24.8h</t>
        </is>
      </c>
      <c r="E20" s="6" t="inlineStr">
        <is>
          <t>98.9%</t>
        </is>
      </c>
      <c r="F20" s="6" t="inlineStr">
        <is>
          <t>99.7%</t>
        </is>
      </c>
      <c r="G20" s="6" t="inlineStr">
        <is>
          <t>67.4%</t>
        </is>
      </c>
      <c r="H20" s="6" t="inlineStr">
        <is>
          <t>Fair</t>
        </is>
      </c>
      <c r="I20" s="6" t="inlineStr">
        <is>
          <t>Digital View Monitoring</t>
        </is>
      </c>
    </row>
    <row r="21" ht="18" customHeight="1">
      <c r="A21" s="5" t="inlineStr">
        <is>
          <t>Patricia Smith</t>
        </is>
      </c>
      <c r="B21" s="13" t="n">
        <v>376</v>
      </c>
      <c r="C21" s="5" t="inlineStr">
        <is>
          <t>4.2%</t>
        </is>
      </c>
      <c r="D21" s="5" t="inlineStr">
        <is>
          <t>26.4h</t>
        </is>
      </c>
      <c r="E21" s="5" t="inlineStr">
        <is>
          <t>100.0%</t>
        </is>
      </c>
      <c r="F21" s="5" t="inlineStr">
        <is>
          <t>100.0%</t>
        </is>
      </c>
      <c r="G21" s="5" t="inlineStr">
        <is>
          <t>67.6%</t>
        </is>
      </c>
      <c r="H21" s="5" t="inlineStr">
        <is>
          <t>Fair</t>
        </is>
      </c>
      <c r="I21" s="5" t="inlineStr">
        <is>
          <t>Digital View Monitoring</t>
        </is>
      </c>
    </row>
    <row r="22" ht="18" customHeight="1">
      <c r="A22" s="6" t="inlineStr">
        <is>
          <t>Joseph Smith</t>
        </is>
      </c>
      <c r="B22" s="14" t="n">
        <v>393</v>
      </c>
      <c r="C22" s="6" t="inlineStr">
        <is>
          <t>4.4%</t>
        </is>
      </c>
      <c r="D22" s="6" t="inlineStr">
        <is>
          <t>25.1h</t>
        </is>
      </c>
      <c r="E22" s="6" t="inlineStr">
        <is>
          <t>99.5%</t>
        </is>
      </c>
      <c r="F22" s="6" t="inlineStr">
        <is>
          <t>100.0%</t>
        </is>
      </c>
      <c r="G22" s="6" t="inlineStr">
        <is>
          <t>63.9%</t>
        </is>
      </c>
      <c r="H22" s="6" t="inlineStr">
        <is>
          <t>Fair</t>
        </is>
      </c>
      <c r="I22" s="6" t="inlineStr">
        <is>
          <t>Digital View Monitoring</t>
        </is>
      </c>
    </row>
    <row r="23" ht="18" customHeight="1">
      <c r="A23" s="5" t="inlineStr">
        <is>
          <t>Michael Smith</t>
        </is>
      </c>
      <c r="B23" s="13" t="n">
        <v>385</v>
      </c>
      <c r="C23" s="5" t="inlineStr">
        <is>
          <t>4.3%</t>
        </is>
      </c>
      <c r="D23" s="5" t="inlineStr">
        <is>
          <t>24.2h</t>
        </is>
      </c>
      <c r="E23" s="5" t="inlineStr">
        <is>
          <t>99.5%</t>
        </is>
      </c>
      <c r="F23" s="5" t="inlineStr">
        <is>
          <t>100.0%</t>
        </is>
      </c>
      <c r="G23" s="5" t="inlineStr">
        <is>
          <t>66.2%</t>
        </is>
      </c>
      <c r="H23" s="5" t="inlineStr">
        <is>
          <t>Fair</t>
        </is>
      </c>
      <c r="I23" s="5" t="inlineStr">
        <is>
          <t>Digital View Monitoring</t>
        </is>
      </c>
    </row>
    <row r="24" ht="18" customHeight="1">
      <c r="A24" s="6" t="inlineStr">
        <is>
          <t>David Smith</t>
        </is>
      </c>
      <c r="B24" s="14" t="n">
        <v>326</v>
      </c>
      <c r="C24" s="6" t="inlineStr">
        <is>
          <t>3.6%</t>
        </is>
      </c>
      <c r="D24" s="6" t="inlineStr">
        <is>
          <t>2.2d</t>
        </is>
      </c>
      <c r="E24" s="6" t="inlineStr">
        <is>
          <t>99.1%</t>
        </is>
      </c>
      <c r="F24" s="6" t="inlineStr">
        <is>
          <t>100.0%</t>
        </is>
      </c>
      <c r="G24" s="6" t="inlineStr">
        <is>
          <t>65.0%</t>
        </is>
      </c>
      <c r="H24" s="6" t="inlineStr">
        <is>
          <t>Fair</t>
        </is>
      </c>
      <c r="I24" s="6" t="inlineStr">
        <is>
          <t>Digital View Monitoring</t>
        </is>
      </c>
    </row>
    <row r="25" ht="18" customHeight="1">
      <c r="A25" s="5" t="inlineStr">
        <is>
          <t>John Smith</t>
        </is>
      </c>
      <c r="B25" s="13" t="n">
        <v>346</v>
      </c>
      <c r="C25" s="5" t="inlineStr">
        <is>
          <t>3.9%</t>
        </is>
      </c>
      <c r="D25" s="5" t="inlineStr">
        <is>
          <t>24.2h</t>
        </is>
      </c>
      <c r="E25" s="5" t="inlineStr">
        <is>
          <t>99.1%</t>
        </is>
      </c>
      <c r="F25" s="5" t="inlineStr">
        <is>
          <t>99.7%</t>
        </is>
      </c>
      <c r="G25" s="5" t="inlineStr">
        <is>
          <t>63.6%</t>
        </is>
      </c>
      <c r="H25" s="5" t="inlineStr">
        <is>
          <t>Fair</t>
        </is>
      </c>
      <c r="I25" s="5" t="inlineStr">
        <is>
          <t>Digital View Monitoring</t>
        </is>
      </c>
    </row>
    <row r="26" ht="18" customHeight="1">
      <c r="A26" s="6" t="inlineStr">
        <is>
          <t>Mary Smith</t>
        </is>
      </c>
      <c r="B26" s="14" t="n">
        <v>348</v>
      </c>
      <c r="C26" s="6" t="inlineStr">
        <is>
          <t>3.9%</t>
        </is>
      </c>
      <c r="D26" s="6" t="inlineStr">
        <is>
          <t>2.0d</t>
        </is>
      </c>
      <c r="E26" s="6" t="inlineStr">
        <is>
          <t>100.0%</t>
        </is>
      </c>
      <c r="F26" s="6" t="inlineStr">
        <is>
          <t>99.7%</t>
        </is>
      </c>
      <c r="G26" s="6" t="inlineStr">
        <is>
          <t>64.4%</t>
        </is>
      </c>
      <c r="H26" s="6" t="inlineStr">
        <is>
          <t>Fair</t>
        </is>
      </c>
      <c r="I26" s="6" t="inlineStr">
        <is>
          <t>Digital View Monitoring</t>
        </is>
      </c>
    </row>
    <row r="27" ht="18" customHeight="1">
      <c r="A27" s="5" t="inlineStr">
        <is>
          <t>Nancy Smith</t>
        </is>
      </c>
      <c r="B27" s="13" t="n">
        <v>380</v>
      </c>
      <c r="C27" s="5" t="inlineStr">
        <is>
          <t>4.2%</t>
        </is>
      </c>
      <c r="D27" s="5" t="inlineStr">
        <is>
          <t>23.8h</t>
        </is>
      </c>
      <c r="E27" s="5" t="inlineStr">
        <is>
          <t>99.2%</t>
        </is>
      </c>
      <c r="F27" s="5" t="inlineStr">
        <is>
          <t>100.0%</t>
        </is>
      </c>
      <c r="G27" s="5" t="inlineStr">
        <is>
          <t>67.4%</t>
        </is>
      </c>
      <c r="H27" s="5" t="inlineStr">
        <is>
          <t>Fair</t>
        </is>
      </c>
      <c r="I27" s="5" t="inlineStr">
        <is>
          <t>Digital View Monitoring</t>
        </is>
      </c>
    </row>
    <row r="28" ht="18" customHeight="1">
      <c r="A28" s="6" t="inlineStr">
        <is>
          <t>Robert Smith</t>
        </is>
      </c>
      <c r="B28" s="14" t="n">
        <v>354</v>
      </c>
      <c r="C28" s="6" t="inlineStr">
        <is>
          <t>3.9%</t>
        </is>
      </c>
      <c r="D28" s="6" t="inlineStr">
        <is>
          <t>26.4h</t>
        </is>
      </c>
      <c r="E28" s="6" t="inlineStr">
        <is>
          <t>99.7%</t>
        </is>
      </c>
      <c r="F28" s="6" t="inlineStr">
        <is>
          <t>100.0%</t>
        </is>
      </c>
      <c r="G28" s="6" t="inlineStr">
        <is>
          <t>63.0%</t>
        </is>
      </c>
      <c r="H28" s="6" t="inlineStr">
        <is>
          <t>Fair</t>
        </is>
      </c>
      <c r="I28" s="6" t="inlineStr">
        <is>
          <t>Digital View Monitoring</t>
        </is>
      </c>
    </row>
    <row r="29" ht="18" customHeight="1">
      <c r="A29" s="5" t="inlineStr">
        <is>
          <t>James Smith</t>
        </is>
      </c>
      <c r="B29" s="13" t="n">
        <v>385</v>
      </c>
      <c r="C29" s="5" t="inlineStr">
        <is>
          <t>4.3%</t>
        </is>
      </c>
      <c r="D29" s="5" t="inlineStr">
        <is>
          <t>24.6h</t>
        </is>
      </c>
      <c r="E29" s="5" t="inlineStr">
        <is>
          <t>99.7%</t>
        </is>
      </c>
      <c r="F29" s="5" t="inlineStr">
        <is>
          <t>100.0%</t>
        </is>
      </c>
      <c r="G29" s="5" t="inlineStr">
        <is>
          <t>64.4%</t>
        </is>
      </c>
      <c r="H29" s="5" t="inlineStr">
        <is>
          <t>Fair</t>
        </is>
      </c>
      <c r="I29" s="5" t="inlineStr">
        <is>
          <t>Digital View Monitoring</t>
        </is>
      </c>
    </row>
    <row r="30" ht="18" customHeight="1">
      <c r="A30" s="6" t="inlineStr">
        <is>
          <t>Richard Smith</t>
        </is>
      </c>
      <c r="B30" s="14" t="n">
        <v>395</v>
      </c>
      <c r="C30" s="6" t="inlineStr">
        <is>
          <t>4.4%</t>
        </is>
      </c>
      <c r="D30" s="6" t="inlineStr">
        <is>
          <t>25.1h</t>
        </is>
      </c>
      <c r="E30" s="6" t="inlineStr">
        <is>
          <t>98.7%</t>
        </is>
      </c>
      <c r="F30" s="6" t="inlineStr">
        <is>
          <t>99.7%</t>
        </is>
      </c>
      <c r="G30" s="6" t="inlineStr">
        <is>
          <t>62.5%</t>
        </is>
      </c>
      <c r="H30" s="6" t="inlineStr">
        <is>
          <t>Fair</t>
        </is>
      </c>
      <c r="I30" s="6" t="inlineStr">
        <is>
          <t>Digital View Monitoring</t>
        </is>
      </c>
    </row>
    <row r="31" ht="10" customHeight="1"/>
    <row r="32" ht="26" customHeight="1">
      <c r="A32" s="3" t="inlineStr">
        <is>
          <t>Workload Distribution</t>
        </is>
      </c>
    </row>
    <row r="33" ht="20" customHeight="1">
      <c r="A33" s="4" t="inlineStr">
        <is>
          <t>Level</t>
        </is>
      </c>
      <c r="B33" s="4" t="inlineStr">
        <is>
          <t>Count</t>
        </is>
      </c>
      <c r="C33" s="4" t="inlineStr">
        <is>
          <t>%</t>
        </is>
      </c>
      <c r="D33" s="4" t="inlineStr">
        <is>
          <t>Avg Events</t>
        </is>
      </c>
      <c r="E33" s="4" t="inlineStr">
        <is>
          <t>Suggestion</t>
        </is>
      </c>
    </row>
    <row r="34" ht="18" customHeight="1">
      <c r="A34" s="5" t="inlineStr">
        <is>
          <t>Light</t>
        </is>
      </c>
      <c r="B34" s="13" t="n">
        <v>7</v>
      </c>
      <c r="C34" s="5" t="inlineStr">
        <is>
          <t>29.2%</t>
        </is>
      </c>
      <c r="D34" s="5" t="inlineStr">
        <is>
          <t>350.7</t>
        </is>
      </c>
      <c r="E34" s="5" t="inlineStr">
        <is>
          <t>Consider additional assignments or cross-training</t>
        </is>
      </c>
    </row>
    <row r="35" ht="18" customHeight="1">
      <c r="A35" s="6" t="inlineStr">
        <is>
          <t>Normal</t>
        </is>
      </c>
      <c r="B35" s="14" t="n">
        <v>10</v>
      </c>
      <c r="C35" s="6" t="inlineStr">
        <is>
          <t>41.7%</t>
        </is>
      </c>
      <c r="D35" s="6" t="inlineStr">
        <is>
          <t>377.7</t>
        </is>
      </c>
      <c r="E35" s="6" t="inlineStr">
        <is>
          <t>Maintain current workload level</t>
        </is>
      </c>
    </row>
    <row r="36" ht="18" customHeight="1">
      <c r="A36" s="5" t="inlineStr">
        <is>
          <t>Heavy</t>
        </is>
      </c>
      <c r="B36" s="13" t="n">
        <v>6</v>
      </c>
      <c r="C36" s="5" t="inlineStr">
        <is>
          <t>25.0%</t>
        </is>
      </c>
      <c r="D36" s="5" t="inlineStr">
        <is>
          <t>388.5</t>
        </is>
      </c>
      <c r="E36" s="5" t="inlineStr">
        <is>
          <t>Monitor for burnout and consider redistribution</t>
        </is>
      </c>
    </row>
    <row r="37" ht="18" customHeight="1">
      <c r="A37" s="6" t="inlineStr">
        <is>
          <t>Overloaded</t>
        </is>
      </c>
      <c r="B37" s="14" t="n">
        <v>1</v>
      </c>
      <c r="C37" s="6" t="inlineStr">
        <is>
          <t>4.2%</t>
        </is>
      </c>
      <c r="D37" s="6" t="inlineStr">
        <is>
          <t>414.0</t>
        </is>
      </c>
      <c r="E37" s="6" t="inlineStr">
        <is>
          <t>Immediate workload redistribution needed</t>
        </is>
      </c>
    </row>
    <row r="38" ht="10" customHeight="1"/>
    <row r="39" ht="26" customHeight="1">
      <c r="A39" s="3" t="inlineStr">
        <is>
          <t>Skill Coverage</t>
        </is>
      </c>
    </row>
    <row r="40" ht="20" customHeight="1">
      <c r="A40" s="4" t="inlineStr">
        <is>
          <t>Category</t>
        </is>
      </c>
      <c r="B40" s="4" t="inlineStr">
        <is>
          <t>Handlers</t>
        </is>
      </c>
      <c r="C40" s="4" t="inlineStr">
        <is>
          <t>Primary</t>
        </is>
      </c>
      <c r="D40" s="4" t="inlineStr">
        <is>
          <t>Coverage</t>
        </is>
      </c>
      <c r="E40" s="4" t="inlineStr">
        <is>
          <t>Risk</t>
        </is>
      </c>
    </row>
    <row r="41" ht="18" customHeight="1">
      <c r="A41" s="5" t="inlineStr">
        <is>
          <t>Digital View Monitoring</t>
        </is>
      </c>
      <c r="B41" s="13" t="n">
        <v>24</v>
      </c>
      <c r="C41" s="5" t="inlineStr">
        <is>
          <t>Thomas Smith</t>
        </is>
      </c>
      <c r="D41" s="5" t="inlineStr">
        <is>
          <t>100.0%</t>
        </is>
      </c>
      <c r="E41" s="5" t="inlineStr">
        <is>
          <t>Low</t>
        </is>
      </c>
    </row>
    <row r="42" ht="18" customHeight="1">
      <c r="A42" s="6" t="inlineStr">
        <is>
          <t>Card</t>
        </is>
      </c>
      <c r="B42" s="14" t="n">
        <v>24</v>
      </c>
      <c r="C42" s="6" t="inlineStr">
        <is>
          <t>Jessica Smith</t>
        </is>
      </c>
      <c r="D42" s="6" t="inlineStr">
        <is>
          <t>100.0%</t>
        </is>
      </c>
      <c r="E42" s="6" t="inlineStr">
        <is>
          <t>Low</t>
        </is>
      </c>
    </row>
    <row r="43" ht="18" customHeight="1">
      <c r="A43" s="5" t="inlineStr">
        <is>
          <t>International Money Transfer</t>
        </is>
      </c>
      <c r="B43" s="13" t="n">
        <v>24</v>
      </c>
      <c r="C43" s="5" t="inlineStr">
        <is>
          <t>Sarah Smith</t>
        </is>
      </c>
      <c r="D43" s="5" t="inlineStr">
        <is>
          <t>100.0%</t>
        </is>
      </c>
      <c r="E43" s="5" t="inlineStr">
        <is>
          <t>Low</t>
        </is>
      </c>
    </row>
    <row r="44" ht="18" customHeight="1">
      <c r="A44" s="6" t="inlineStr">
        <is>
          <t>Outward Fund transfer</t>
        </is>
      </c>
      <c r="B44" s="14" t="n">
        <v>24</v>
      </c>
      <c r="C44" s="6" t="inlineStr">
        <is>
          <t>Patricia Smith</t>
        </is>
      </c>
      <c r="D44" s="6" t="inlineStr">
        <is>
          <t>100.0%</t>
        </is>
      </c>
      <c r="E44" s="6" t="inlineStr">
        <is>
          <t>Low</t>
        </is>
      </c>
    </row>
    <row r="45" ht="18" customHeight="1">
      <c r="A45" s="5" t="inlineStr">
        <is>
          <t>Onboarding</t>
        </is>
      </c>
      <c r="B45" s="13" t="n">
        <v>24</v>
      </c>
      <c r="C45" s="5" t="inlineStr">
        <is>
          <t>Barbara Smith</t>
        </is>
      </c>
      <c r="D45" s="5" t="inlineStr">
        <is>
          <t>100.0%</t>
        </is>
      </c>
      <c r="E45" s="5" t="inlineStr">
        <is>
          <t>Low</t>
        </is>
      </c>
    </row>
    <row r="46" ht="18" customHeight="1">
      <c r="A46" s="6" t="inlineStr">
        <is>
          <t>Account Management</t>
        </is>
      </c>
      <c r="B46" s="14" t="n">
        <v>24</v>
      </c>
      <c r="C46" s="6" t="inlineStr">
        <is>
          <t>Karen Smith</t>
        </is>
      </c>
      <c r="D46" s="6" t="inlineStr">
        <is>
          <t>100.0%</t>
        </is>
      </c>
      <c r="E46" s="6" t="inlineStr">
        <is>
          <t>Low</t>
        </is>
      </c>
    </row>
    <row r="47" ht="18" customHeight="1">
      <c r="A47" s="5" t="inlineStr">
        <is>
          <t>Compliance</t>
        </is>
      </c>
      <c r="B47" s="13" t="n">
        <v>24</v>
      </c>
      <c r="C47" s="5" t="inlineStr">
        <is>
          <t>Jessica Smith</t>
        </is>
      </c>
      <c r="D47" s="5" t="inlineStr">
        <is>
          <t>100.0%</t>
        </is>
      </c>
      <c r="E47" s="5" t="inlineStr">
        <is>
          <t>Low</t>
        </is>
      </c>
    </row>
    <row r="48" ht="18" customHeight="1">
      <c r="A48" s="6" t="inlineStr">
        <is>
          <t>Cash In</t>
        </is>
      </c>
      <c r="B48" s="14" t="n">
        <v>24</v>
      </c>
      <c r="C48" s="6" t="inlineStr">
        <is>
          <t>Christopher Smith</t>
        </is>
      </c>
      <c r="D48" s="6" t="inlineStr">
        <is>
          <t>100.0%</t>
        </is>
      </c>
      <c r="E48" s="6" t="inlineStr">
        <is>
          <t>Low</t>
        </is>
      </c>
    </row>
    <row r="49" ht="18" customHeight="1">
      <c r="A49" s="5" t="inlineStr">
        <is>
          <t>Other</t>
        </is>
      </c>
      <c r="B49" s="13" t="n">
        <v>24</v>
      </c>
      <c r="C49" s="5" t="inlineStr">
        <is>
          <t>Richard Smith</t>
        </is>
      </c>
      <c r="D49" s="5" t="inlineStr">
        <is>
          <t>100.0%</t>
        </is>
      </c>
      <c r="E49" s="5" t="inlineStr">
        <is>
          <t>Low</t>
        </is>
      </c>
    </row>
    <row r="50" ht="18" customHeight="1">
      <c r="A50" s="6" t="inlineStr">
        <is>
          <t>Infra</t>
        </is>
      </c>
      <c r="B50" s="14" t="n">
        <v>24</v>
      </c>
      <c r="C50" s="6" t="inlineStr">
        <is>
          <t>David Smith</t>
        </is>
      </c>
      <c r="D50" s="6" t="inlineStr">
        <is>
          <t>100.0%</t>
        </is>
      </c>
      <c r="E50" s="6" t="inlineStr">
        <is>
          <t>Low</t>
        </is>
      </c>
    </row>
    <row r="51" ht="18" customHeight="1">
      <c r="A51" s="5" t="inlineStr">
        <is>
          <t>Cardless Cash Out</t>
        </is>
      </c>
      <c r="B51" s="13" t="n">
        <v>24</v>
      </c>
      <c r="C51" s="5" t="inlineStr">
        <is>
          <t>Barbara Smith</t>
        </is>
      </c>
      <c r="D51" s="5" t="inlineStr">
        <is>
          <t>100.0%</t>
        </is>
      </c>
      <c r="E51" s="5" t="inlineStr">
        <is>
          <t>Low</t>
        </is>
      </c>
    </row>
    <row r="52" ht="18" customHeight="1">
      <c r="A52" s="6" t="inlineStr">
        <is>
          <t>Bill Payment</t>
        </is>
      </c>
      <c r="B52" s="14" t="n">
        <v>24</v>
      </c>
      <c r="C52" s="6" t="inlineStr">
        <is>
          <t>Daniel Smith</t>
        </is>
      </c>
      <c r="D52" s="6" t="inlineStr">
        <is>
          <t>100.0%</t>
        </is>
      </c>
      <c r="E52" s="6" t="inlineStr">
        <is>
          <t>Low</t>
        </is>
      </c>
    </row>
    <row r="53" ht="18" customHeight="1">
      <c r="A53" s="5" t="inlineStr">
        <is>
          <t>P2P Transfer</t>
        </is>
      </c>
      <c r="B53" s="13" t="n">
        <v>24</v>
      </c>
      <c r="C53" s="5" t="inlineStr">
        <is>
          <t>Sarah Smith</t>
        </is>
      </c>
      <c r="D53" s="5" t="inlineStr">
        <is>
          <t>100.0%</t>
        </is>
      </c>
      <c r="E53" s="5" t="inlineStr">
        <is>
          <t>Low</t>
        </is>
      </c>
    </row>
    <row r="54" ht="18" customHeight="1">
      <c r="A54" s="6" t="inlineStr">
        <is>
          <t>Cash Out</t>
        </is>
      </c>
      <c r="B54" s="14" t="n">
        <v>24</v>
      </c>
      <c r="C54" s="6" t="inlineStr">
        <is>
          <t>Joseph Smith</t>
        </is>
      </c>
      <c r="D54" s="6" t="inlineStr">
        <is>
          <t>100.0%</t>
        </is>
      </c>
      <c r="E54" s="6" t="inlineStr">
        <is>
          <t>Low</t>
        </is>
      </c>
    </row>
    <row r="55" ht="18" customHeight="1">
      <c r="A55" s="5" t="inlineStr">
        <is>
          <t>Internal Requests</t>
        </is>
      </c>
      <c r="B55" s="13" t="n">
        <v>23</v>
      </c>
      <c r="C55" s="5" t="inlineStr">
        <is>
          <t>Daniel Smith</t>
        </is>
      </c>
      <c r="D55" s="5" t="inlineStr">
        <is>
          <t>95.8%</t>
        </is>
      </c>
      <c r="E55" s="5" t="inlineStr">
        <is>
          <t>Low</t>
        </is>
      </c>
    </row>
    <row r="56" ht="18" customHeight="1">
      <c r="A56" s="6" t="inlineStr">
        <is>
          <t>Promotions</t>
        </is>
      </c>
      <c r="B56" s="14" t="n">
        <v>13</v>
      </c>
      <c r="C56" s="6" t="inlineStr">
        <is>
          <t>Joseph Smith</t>
        </is>
      </c>
      <c r="D56" s="6" t="inlineStr">
        <is>
          <t>54.2%</t>
        </is>
      </c>
      <c r="E56" s="6" t="inlineStr">
        <is>
          <t>Low</t>
        </is>
      </c>
    </row>
    <row r="57" ht="18" customHeight="1">
      <c r="A57" s="5" t="inlineStr">
        <is>
          <t>Customer Complaint</t>
        </is>
      </c>
      <c r="B57" s="13" t="n">
        <v>16</v>
      </c>
      <c r="C57" s="5" t="inlineStr">
        <is>
          <t>Joseph Smith</t>
        </is>
      </c>
      <c r="D57" s="5" t="inlineStr">
        <is>
          <t>66.7%</t>
        </is>
      </c>
      <c r="E57" s="5" t="inlineStr">
        <is>
          <t>Low</t>
        </is>
      </c>
    </row>
    <row r="58" ht="18" customHeight="1">
      <c r="A58" s="6" t="inlineStr">
        <is>
          <t>Fraud</t>
        </is>
      </c>
      <c r="B58" s="14" t="n">
        <v>7</v>
      </c>
      <c r="C58" s="6" t="inlineStr">
        <is>
          <t>Christopher Smith</t>
        </is>
      </c>
      <c r="D58" s="6" t="inlineStr">
        <is>
          <t>29.2%</t>
        </is>
      </c>
      <c r="E58" s="6" t="inlineStr">
        <is>
          <t>Low</t>
        </is>
      </c>
    </row>
    <row r="59" ht="18" customHeight="1">
      <c r="A59" s="5" t="inlineStr">
        <is>
          <t>Airtime Top-Up</t>
        </is>
      </c>
      <c r="B59" s="13" t="n">
        <v>5</v>
      </c>
      <c r="C59" s="5" t="inlineStr">
        <is>
          <t>Elizabeth Smith</t>
        </is>
      </c>
      <c r="D59" s="5" t="inlineStr">
        <is>
          <t>20.8%</t>
        </is>
      </c>
      <c r="E59" s="5" t="inlineStr">
        <is>
          <t>Low</t>
        </is>
      </c>
    </row>
    <row r="60" ht="10" customHeight="1"/>
    <row r="61" ht="26" customHeight="1">
      <c r="A61" s="3" t="inlineStr">
        <is>
          <t>Visual Analysis</t>
        </is>
      </c>
    </row>
    <row r="62" ht="16" customHeight="1">
      <c r="A62" s="8" t="inlineStr">
        <is>
          <t>Top 10 personnel by ticket volume</t>
        </is>
      </c>
    </row>
    <row r="89" ht="16" customHeight="1">
      <c r="A89" s="8" t="inlineStr">
        <is>
          <t>Performance Matrix (Volume vs MTTR)</t>
        </is>
      </c>
    </row>
    <row r="90">
      <c r="A90" s="15" t="inlineStr">
        <is>
          <t>Personnel Skill Heatmap</t>
        </is>
      </c>
    </row>
    <row r="91">
      <c r="A91" t="inlineStr">
        <is>
          <t>Resolver</t>
        </is>
      </c>
      <c r="B91" t="inlineStr">
        <is>
          <t>Account Management</t>
        </is>
      </c>
      <c r="C91" t="inlineStr">
        <is>
          <t>Airtime Top-Up</t>
        </is>
      </c>
      <c r="D91" t="inlineStr">
        <is>
          <t>Bill Payment</t>
        </is>
      </c>
      <c r="E91" t="inlineStr">
        <is>
          <t>Card</t>
        </is>
      </c>
      <c r="F91" t="inlineStr">
        <is>
          <t>Cardless Cash Out</t>
        </is>
      </c>
      <c r="G91" t="inlineStr">
        <is>
          <t>Cash In</t>
        </is>
      </c>
      <c r="H91" t="inlineStr">
        <is>
          <t>Cash Out</t>
        </is>
      </c>
      <c r="I91" t="inlineStr">
        <is>
          <t>Compliance</t>
        </is>
      </c>
      <c r="J91" t="inlineStr">
        <is>
          <t>Customer Complaint</t>
        </is>
      </c>
      <c r="K91" t="inlineStr">
        <is>
          <t>Digital View Monitoring</t>
        </is>
      </c>
      <c r="L91" t="inlineStr">
        <is>
          <t>Fraud</t>
        </is>
      </c>
      <c r="M91" t="inlineStr">
        <is>
          <t>Infra</t>
        </is>
      </c>
      <c r="N91" t="inlineStr">
        <is>
          <t>Internal Requests</t>
        </is>
      </c>
      <c r="O91" t="inlineStr">
        <is>
          <t>International Money Transfer</t>
        </is>
      </c>
      <c r="P91" t="inlineStr">
        <is>
          <t>Onboarding</t>
        </is>
      </c>
      <c r="Q91" t="inlineStr">
        <is>
          <t>Other</t>
        </is>
      </c>
      <c r="R91" t="inlineStr">
        <is>
          <t>Outward Fund transfer</t>
        </is>
      </c>
      <c r="S91" t="inlineStr">
        <is>
          <t>P2P Transfer</t>
        </is>
      </c>
      <c r="T91" t="inlineStr">
        <is>
          <t>Promotions</t>
        </is>
      </c>
    </row>
    <row r="92">
      <c r="A92" t="inlineStr">
        <is>
          <t>Charles Smith</t>
        </is>
      </c>
      <c r="B92" t="n">
        <v>12</v>
      </c>
      <c r="C92" t="n">
        <v>0</v>
      </c>
      <c r="D92" t="n">
        <v>3</v>
      </c>
      <c r="E92" t="n">
        <v>27</v>
      </c>
      <c r="F92" t="n">
        <v>14</v>
      </c>
      <c r="G92" t="n">
        <v>14</v>
      </c>
      <c r="H92" t="n">
        <v>1</v>
      </c>
      <c r="I92" t="n">
        <v>15</v>
      </c>
      <c r="J92" t="n">
        <v>1</v>
      </c>
      <c r="K92" t="n">
        <v>179</v>
      </c>
      <c r="L92" t="n">
        <v>1</v>
      </c>
      <c r="M92" t="n">
        <v>5</v>
      </c>
      <c r="N92" t="n">
        <v>0</v>
      </c>
      <c r="O92" t="n">
        <v>41</v>
      </c>
      <c r="P92" t="n">
        <v>21</v>
      </c>
      <c r="Q92" t="n">
        <v>26</v>
      </c>
      <c r="R92" t="n">
        <v>17</v>
      </c>
      <c r="S92" t="n">
        <v>2</v>
      </c>
      <c r="T92" t="n">
        <v>2</v>
      </c>
    </row>
    <row r="93">
      <c r="A93" t="inlineStr">
        <is>
          <t>Christopher Smith</t>
        </is>
      </c>
      <c r="B93" t="n">
        <v>13</v>
      </c>
      <c r="C93" t="n">
        <v>0</v>
      </c>
      <c r="D93" t="n">
        <v>3</v>
      </c>
      <c r="E93" t="n">
        <v>33</v>
      </c>
      <c r="F93" t="n">
        <v>16</v>
      </c>
      <c r="G93" t="n">
        <v>26</v>
      </c>
      <c r="H93" t="n">
        <v>2</v>
      </c>
      <c r="I93" t="n">
        <v>8</v>
      </c>
      <c r="J93" t="n">
        <v>3</v>
      </c>
      <c r="K93" t="n">
        <v>165</v>
      </c>
      <c r="L93" t="n">
        <v>1</v>
      </c>
      <c r="M93" t="n">
        <v>6</v>
      </c>
      <c r="N93" t="n">
        <v>3</v>
      </c>
      <c r="O93" t="n">
        <v>28</v>
      </c>
      <c r="P93" t="n">
        <v>31</v>
      </c>
      <c r="Q93" t="n">
        <v>26</v>
      </c>
      <c r="R93" t="n">
        <v>15</v>
      </c>
      <c r="S93" t="n">
        <v>5</v>
      </c>
      <c r="T93" t="n">
        <v>0</v>
      </c>
    </row>
    <row r="94">
      <c r="A94" t="inlineStr">
        <is>
          <t>Elizabeth Smith</t>
        </is>
      </c>
      <c r="B94" t="n">
        <v>13</v>
      </c>
      <c r="C94" t="n">
        <v>1</v>
      </c>
      <c r="D94" t="n">
        <v>2</v>
      </c>
      <c r="E94" t="n">
        <v>39</v>
      </c>
      <c r="F94" t="n">
        <v>8</v>
      </c>
      <c r="G94" t="n">
        <v>19</v>
      </c>
      <c r="H94" t="n">
        <v>3</v>
      </c>
      <c r="I94" t="n">
        <v>13</v>
      </c>
      <c r="J94" t="n">
        <v>1</v>
      </c>
      <c r="K94" t="n">
        <v>164</v>
      </c>
      <c r="L94" t="n">
        <v>1</v>
      </c>
      <c r="M94" t="n">
        <v>9</v>
      </c>
      <c r="N94" t="n">
        <v>2</v>
      </c>
      <c r="O94" t="n">
        <v>37</v>
      </c>
      <c r="P94" t="n">
        <v>29</v>
      </c>
      <c r="Q94" t="n">
        <v>22</v>
      </c>
      <c r="R94" t="n">
        <v>13</v>
      </c>
      <c r="S94" t="n">
        <v>5</v>
      </c>
      <c r="T94" t="n">
        <v>0</v>
      </c>
    </row>
    <row r="95">
      <c r="A95" t="inlineStr">
        <is>
          <t>James Smith</t>
        </is>
      </c>
      <c r="B95" t="n">
        <v>13</v>
      </c>
      <c r="C95" t="n">
        <v>0</v>
      </c>
      <c r="D95" t="n">
        <v>3</v>
      </c>
      <c r="E95" t="n">
        <v>31</v>
      </c>
      <c r="F95" t="n">
        <v>17</v>
      </c>
      <c r="G95" t="n">
        <v>16</v>
      </c>
      <c r="H95" t="n">
        <v>1</v>
      </c>
      <c r="I95" t="n">
        <v>10</v>
      </c>
      <c r="J95" t="n">
        <v>0</v>
      </c>
      <c r="K95" t="n">
        <v>171</v>
      </c>
      <c r="L95" t="n">
        <v>0</v>
      </c>
      <c r="M95" t="n">
        <v>5</v>
      </c>
      <c r="N95" t="n">
        <v>3</v>
      </c>
      <c r="O95" t="n">
        <v>38</v>
      </c>
      <c r="P95" t="n">
        <v>32</v>
      </c>
      <c r="Q95" t="n">
        <v>26</v>
      </c>
      <c r="R95" t="n">
        <v>16</v>
      </c>
      <c r="S95" t="n">
        <v>3</v>
      </c>
      <c r="T95" t="n">
        <v>0</v>
      </c>
    </row>
    <row r="96">
      <c r="A96" t="inlineStr">
        <is>
          <t>Jessica Smith</t>
        </is>
      </c>
      <c r="B96" t="n">
        <v>14</v>
      </c>
      <c r="C96" t="n">
        <v>0</v>
      </c>
      <c r="D96" t="n">
        <v>4</v>
      </c>
      <c r="E96" t="n">
        <v>44</v>
      </c>
      <c r="F96" t="n">
        <v>13</v>
      </c>
      <c r="G96" t="n">
        <v>16</v>
      </c>
      <c r="H96" t="n">
        <v>2</v>
      </c>
      <c r="I96" t="n">
        <v>17</v>
      </c>
      <c r="J96" t="n">
        <v>0</v>
      </c>
      <c r="K96" t="n">
        <v>176</v>
      </c>
      <c r="L96" t="n">
        <v>0</v>
      </c>
      <c r="M96" t="n">
        <v>6</v>
      </c>
      <c r="N96" t="n">
        <v>2</v>
      </c>
      <c r="O96" t="n">
        <v>41</v>
      </c>
      <c r="P96" t="n">
        <v>33</v>
      </c>
      <c r="Q96" t="n">
        <v>26</v>
      </c>
      <c r="R96" t="n">
        <v>15</v>
      </c>
      <c r="S96" t="n">
        <v>4</v>
      </c>
      <c r="T96" t="n">
        <v>1</v>
      </c>
    </row>
    <row r="97">
      <c r="A97" t="inlineStr">
        <is>
          <t>Joseph Smith</t>
        </is>
      </c>
      <c r="B97" t="n">
        <v>10</v>
      </c>
      <c r="C97" t="n">
        <v>0</v>
      </c>
      <c r="D97" t="n">
        <v>3</v>
      </c>
      <c r="E97" t="n">
        <v>40</v>
      </c>
      <c r="F97" t="n">
        <v>19</v>
      </c>
      <c r="G97" t="n">
        <v>10</v>
      </c>
      <c r="H97" t="n">
        <v>5</v>
      </c>
      <c r="I97" t="n">
        <v>8</v>
      </c>
      <c r="J97" t="n">
        <v>5</v>
      </c>
      <c r="K97" t="n">
        <v>173</v>
      </c>
      <c r="L97" t="n">
        <v>0</v>
      </c>
      <c r="M97" t="n">
        <v>10</v>
      </c>
      <c r="N97" t="n">
        <v>2</v>
      </c>
      <c r="O97" t="n">
        <v>27</v>
      </c>
      <c r="P97" t="n">
        <v>39</v>
      </c>
      <c r="Q97" t="n">
        <v>25</v>
      </c>
      <c r="R97" t="n">
        <v>10</v>
      </c>
      <c r="S97" t="n">
        <v>3</v>
      </c>
      <c r="T97" t="n">
        <v>4</v>
      </c>
    </row>
    <row r="98">
      <c r="A98" t="inlineStr">
        <is>
          <t>Karen Smith</t>
        </is>
      </c>
      <c r="B98" t="n">
        <v>21</v>
      </c>
      <c r="C98" t="n">
        <v>0</v>
      </c>
      <c r="D98" t="n">
        <v>3</v>
      </c>
      <c r="E98" t="n">
        <v>30</v>
      </c>
      <c r="F98" t="n">
        <v>16</v>
      </c>
      <c r="G98" t="n">
        <v>15</v>
      </c>
      <c r="H98" t="n">
        <v>1</v>
      </c>
      <c r="I98" t="n">
        <v>7</v>
      </c>
      <c r="J98" t="n">
        <v>3</v>
      </c>
      <c r="K98" t="n">
        <v>161</v>
      </c>
      <c r="L98" t="n">
        <v>0</v>
      </c>
      <c r="M98" t="n">
        <v>11</v>
      </c>
      <c r="N98" t="n">
        <v>1</v>
      </c>
      <c r="O98" t="n">
        <v>35</v>
      </c>
      <c r="P98" t="n">
        <v>36</v>
      </c>
      <c r="Q98" t="n">
        <v>25</v>
      </c>
      <c r="R98" t="n">
        <v>10</v>
      </c>
      <c r="S98" t="n">
        <v>2</v>
      </c>
      <c r="T98" t="n">
        <v>2</v>
      </c>
    </row>
    <row r="99">
      <c r="A99" t="inlineStr">
        <is>
          <t>Lisa Smith</t>
        </is>
      </c>
      <c r="B99" t="n">
        <v>12</v>
      </c>
      <c r="C99" t="n">
        <v>0</v>
      </c>
      <c r="D99" t="n">
        <v>1</v>
      </c>
      <c r="E99" t="n">
        <v>35</v>
      </c>
      <c r="F99" t="n">
        <v>10</v>
      </c>
      <c r="G99" t="n">
        <v>15</v>
      </c>
      <c r="H99" t="n">
        <v>4</v>
      </c>
      <c r="I99" t="n">
        <v>6</v>
      </c>
      <c r="J99" t="n">
        <v>0</v>
      </c>
      <c r="K99" t="n">
        <v>174</v>
      </c>
      <c r="L99" t="n">
        <v>0</v>
      </c>
      <c r="M99" t="n">
        <v>11</v>
      </c>
      <c r="N99" t="n">
        <v>1</v>
      </c>
      <c r="O99" t="n">
        <v>33</v>
      </c>
      <c r="P99" t="n">
        <v>34</v>
      </c>
      <c r="Q99" t="n">
        <v>21</v>
      </c>
      <c r="R99" t="n">
        <v>14</v>
      </c>
      <c r="S99" t="n">
        <v>3</v>
      </c>
      <c r="T99" t="n">
        <v>1</v>
      </c>
    </row>
    <row r="100">
      <c r="A100" t="inlineStr">
        <is>
          <t>Michael Smith</t>
        </is>
      </c>
      <c r="B100" t="n">
        <v>11</v>
      </c>
      <c r="C100" t="n">
        <v>1</v>
      </c>
      <c r="D100" t="n">
        <v>5</v>
      </c>
      <c r="E100" t="n">
        <v>27</v>
      </c>
      <c r="F100" t="n">
        <v>10</v>
      </c>
      <c r="G100" t="n">
        <v>21</v>
      </c>
      <c r="H100" t="n">
        <v>2</v>
      </c>
      <c r="I100" t="n">
        <v>15</v>
      </c>
      <c r="J100" t="n">
        <v>1</v>
      </c>
      <c r="K100" t="n">
        <v>179</v>
      </c>
      <c r="L100" t="n">
        <v>0</v>
      </c>
      <c r="M100" t="n">
        <v>8</v>
      </c>
      <c r="N100" t="n">
        <v>1</v>
      </c>
      <c r="O100" t="n">
        <v>34</v>
      </c>
      <c r="P100" t="n">
        <v>26</v>
      </c>
      <c r="Q100" t="n">
        <v>28</v>
      </c>
      <c r="R100" t="n">
        <v>13</v>
      </c>
      <c r="S100" t="n">
        <v>3</v>
      </c>
      <c r="T100" t="n">
        <v>0</v>
      </c>
    </row>
    <row r="101">
      <c r="A101" t="inlineStr">
        <is>
          <t>Nancy Smith</t>
        </is>
      </c>
      <c r="B101" t="n">
        <v>11</v>
      </c>
      <c r="C101" t="n">
        <v>0</v>
      </c>
      <c r="D101" t="n">
        <v>3</v>
      </c>
      <c r="E101" t="n">
        <v>26</v>
      </c>
      <c r="F101" t="n">
        <v>10</v>
      </c>
      <c r="G101" t="n">
        <v>14</v>
      </c>
      <c r="H101" t="n">
        <v>5</v>
      </c>
      <c r="I101" t="n">
        <v>10</v>
      </c>
      <c r="J101" t="n">
        <v>0</v>
      </c>
      <c r="K101" t="n">
        <v>163</v>
      </c>
      <c r="L101" t="n">
        <v>0</v>
      </c>
      <c r="M101" t="n">
        <v>10</v>
      </c>
      <c r="N101" t="n">
        <v>4</v>
      </c>
      <c r="O101" t="n">
        <v>40</v>
      </c>
      <c r="P101" t="n">
        <v>35</v>
      </c>
      <c r="Q101" t="n">
        <v>34</v>
      </c>
      <c r="R101" t="n">
        <v>12</v>
      </c>
      <c r="S101" t="n">
        <v>3</v>
      </c>
      <c r="T101" t="n">
        <v>0</v>
      </c>
    </row>
    <row r="102">
      <c r="A102" t="inlineStr">
        <is>
          <t>Patricia Smith</t>
        </is>
      </c>
      <c r="B102" t="n">
        <v>9</v>
      </c>
      <c r="C102" t="n">
        <v>0</v>
      </c>
      <c r="D102" t="n">
        <v>5</v>
      </c>
      <c r="E102" t="n">
        <v>36</v>
      </c>
      <c r="F102" t="n">
        <v>7</v>
      </c>
      <c r="G102" t="n">
        <v>12</v>
      </c>
      <c r="H102" t="n">
        <v>3</v>
      </c>
      <c r="I102" t="n">
        <v>7</v>
      </c>
      <c r="J102" t="n">
        <v>0</v>
      </c>
      <c r="K102" t="n">
        <v>171</v>
      </c>
      <c r="L102" t="n">
        <v>0</v>
      </c>
      <c r="M102" t="n">
        <v>8</v>
      </c>
      <c r="N102" t="n">
        <v>1</v>
      </c>
      <c r="O102" t="n">
        <v>33</v>
      </c>
      <c r="P102" t="n">
        <v>32</v>
      </c>
      <c r="Q102" t="n">
        <v>30</v>
      </c>
      <c r="R102" t="n">
        <v>20</v>
      </c>
      <c r="S102" t="n">
        <v>2</v>
      </c>
      <c r="T102" t="n">
        <v>0</v>
      </c>
    </row>
    <row r="103">
      <c r="A103" t="inlineStr">
        <is>
          <t>Richard Smith</t>
        </is>
      </c>
      <c r="B103" t="n">
        <v>10</v>
      </c>
      <c r="C103" t="n">
        <v>0</v>
      </c>
      <c r="D103" t="n">
        <v>2</v>
      </c>
      <c r="E103" t="n">
        <v>35</v>
      </c>
      <c r="F103" t="n">
        <v>13</v>
      </c>
      <c r="G103" t="n">
        <v>20</v>
      </c>
      <c r="H103" t="n">
        <v>1</v>
      </c>
      <c r="I103" t="n">
        <v>7</v>
      </c>
      <c r="J103" t="n">
        <v>3</v>
      </c>
      <c r="K103" t="n">
        <v>163</v>
      </c>
      <c r="L103" t="n">
        <v>0</v>
      </c>
      <c r="M103" t="n">
        <v>7</v>
      </c>
      <c r="N103" t="n">
        <v>4</v>
      </c>
      <c r="O103" t="n">
        <v>41</v>
      </c>
      <c r="P103" t="n">
        <v>30</v>
      </c>
      <c r="Q103" t="n">
        <v>37</v>
      </c>
      <c r="R103" t="n">
        <v>12</v>
      </c>
      <c r="S103" t="n">
        <v>8</v>
      </c>
      <c r="T103" t="n">
        <v>2</v>
      </c>
    </row>
    <row r="104">
      <c r="A104" t="inlineStr">
        <is>
          <t>Sarah Smith</t>
        </is>
      </c>
      <c r="B104" t="n">
        <v>10</v>
      </c>
      <c r="C104" t="n">
        <v>1</v>
      </c>
      <c r="D104" t="n">
        <v>4</v>
      </c>
      <c r="E104" t="n">
        <v>29</v>
      </c>
      <c r="F104" t="n">
        <v>18</v>
      </c>
      <c r="G104" t="n">
        <v>20</v>
      </c>
      <c r="H104" t="n">
        <v>3</v>
      </c>
      <c r="I104" t="n">
        <v>11</v>
      </c>
      <c r="J104" t="n">
        <v>1</v>
      </c>
      <c r="K104" t="n">
        <v>149</v>
      </c>
      <c r="L104" t="n">
        <v>1</v>
      </c>
      <c r="M104" t="n">
        <v>8</v>
      </c>
      <c r="N104" t="n">
        <v>1</v>
      </c>
      <c r="O104" t="n">
        <v>44</v>
      </c>
      <c r="P104" t="n">
        <v>29</v>
      </c>
      <c r="Q104" t="n">
        <v>28</v>
      </c>
      <c r="R104" t="n">
        <v>14</v>
      </c>
      <c r="S104" t="n">
        <v>8</v>
      </c>
      <c r="T104" t="n">
        <v>0</v>
      </c>
    </row>
    <row r="105">
      <c r="A105" t="inlineStr">
        <is>
          <t>Thomas Smith</t>
        </is>
      </c>
      <c r="B105" t="n">
        <v>6</v>
      </c>
      <c r="C105" t="n">
        <v>0</v>
      </c>
      <c r="D105" t="n">
        <v>3</v>
      </c>
      <c r="E105" t="n">
        <v>29</v>
      </c>
      <c r="F105" t="n">
        <v>12</v>
      </c>
      <c r="G105" t="n">
        <v>22</v>
      </c>
      <c r="H105" t="n">
        <v>2</v>
      </c>
      <c r="I105" t="n">
        <v>6</v>
      </c>
      <c r="J105" t="n">
        <v>3</v>
      </c>
      <c r="K105" t="n">
        <v>197</v>
      </c>
      <c r="L105" t="n">
        <v>0</v>
      </c>
      <c r="M105" t="n">
        <v>6</v>
      </c>
      <c r="N105" t="n">
        <v>2</v>
      </c>
      <c r="O105" t="n">
        <v>35</v>
      </c>
      <c r="P105" t="n">
        <v>20</v>
      </c>
      <c r="Q105" t="n">
        <v>29</v>
      </c>
      <c r="R105" t="n">
        <v>13</v>
      </c>
      <c r="S105" t="n">
        <v>3</v>
      </c>
      <c r="T105" t="n">
        <v>1</v>
      </c>
    </row>
    <row r="106">
      <c r="A106" t="inlineStr">
        <is>
          <t>William Smith</t>
        </is>
      </c>
      <c r="B106" t="n">
        <v>11</v>
      </c>
      <c r="C106" t="n">
        <v>0</v>
      </c>
      <c r="D106" t="n">
        <v>3</v>
      </c>
      <c r="E106" t="n">
        <v>35</v>
      </c>
      <c r="F106" t="n">
        <v>15</v>
      </c>
      <c r="G106" t="n">
        <v>22</v>
      </c>
      <c r="H106" t="n">
        <v>1</v>
      </c>
      <c r="I106" t="n">
        <v>8</v>
      </c>
      <c r="J106" t="n">
        <v>0</v>
      </c>
      <c r="K106" t="n">
        <v>173</v>
      </c>
      <c r="L106" t="n">
        <v>0</v>
      </c>
      <c r="M106" t="n">
        <v>6</v>
      </c>
      <c r="N106" t="n">
        <v>5</v>
      </c>
      <c r="O106" t="n">
        <v>27</v>
      </c>
      <c r="P106" t="n">
        <v>27</v>
      </c>
      <c r="Q106" t="n">
        <v>23</v>
      </c>
      <c r="R106" t="n">
        <v>17</v>
      </c>
      <c r="S106" t="n">
        <v>2</v>
      </c>
      <c r="T106" t="n">
        <v>2</v>
      </c>
    </row>
    <row r="108" ht="10" customHeight="1"/>
    <row r="109" ht="26" customHeight="1">
      <c r="A109" s="9" t="inlineStr">
        <is>
          <t>🤖 AI Insight</t>
        </is>
      </c>
    </row>
    <row r="110" ht="30" customHeight="1">
      <c r="A110" s="11" t="inlineStr">
        <is>
          <t>📌 Finding:</t>
        </is>
      </c>
    </row>
    <row r="111" ht="30" customHeight="1">
      <c r="A111" s="10" t="inlineStr">
        <is>
          <t>1. **Extreme workload imbalance with 99.4% of total volume driven by incidents** – Incidents account for 8,977 of the 9,127 total tickets (98.4% of volume), while changes, requests, and problems combined represent only 150 tickets (1.6%). This indicates reactive firefighting dominates operations, leaving minimal capacity for proactive or strategic work.</t>
        </is>
      </c>
    </row>
    <row r="112" ht="30" customHeight="1">
      <c r="A112" s="10" t="inlineStr">
        <is>
          <t>2. **Critical capacity gap in incident management** – With an average of 8,977 incidents, assuming a standard ITIL incident handling time, the team is significantly overloaded. If each incident requires ~30 minutes of effort, the team spends approximately 4,489 hours on incidents alone, far exceeding typical FTE capacity for a mid-sized team.</t>
        </is>
      </c>
    </row>
    <row r="113" ht="30" customHeight="1">
      <c r="A113" s="10" t="inlineStr">
        <is>
          <t>3. **Skill coverage risk due to disproportionate focus** – The near-exclusive focus on incidents (98.4% of tickets) suggests staff are not developing or applying skills in change management, problem management, or request fulfillment, creating a brittle, single-skilled workforce.</t>
        </is>
      </c>
    </row>
    <row r="114" ht="6" customHeight="1"/>
    <row r="115" ht="30" customHeight="1">
      <c r="A115" s="11" t="inlineStr">
        <is>
          <t>🔍 Root Cause:</t>
        </is>
      </c>
    </row>
    <row r="116" ht="30" customHeight="1">
      <c r="A116" s="10" t="inlineStr">
        <is>
          <t>**People &amp; Process:**</t>
        </is>
      </c>
    </row>
    <row r="117" ht="30" customHeight="1">
      <c r="A117" s="10" t="inlineStr">
        <is>
          <t>- **Reactive culture** – The 179:1 incident-to-problem ratio (8,977 incidents vs. 50 problems) indicates a lack of root-cause analysis and problem management processes. This perpetuates repeat incidents and overwhelms staff.</t>
        </is>
      </c>
    </row>
    <row r="118" ht="30" customHeight="1">
      <c r="A118" s="10" t="inlineStr">
        <is>
          <t>- **Underutilization of other ITIL practices** – Only 50 changes and 50 requests suggest either poor process adoption or excessive gatekeeping, diverting all operational energy to incident response.</t>
        </is>
      </c>
    </row>
    <row r="119" ht="6" customHeight="1"/>
    <row r="120" ht="30" customHeight="1">
      <c r="A120" s="10" t="inlineStr">
        <is>
          <t>**Technology &amp; Management:**</t>
        </is>
      </c>
    </row>
    <row r="121" ht="30" customHeight="1">
      <c r="A121" s="10" t="inlineStr">
        <is>
          <t>- **Tooling/automation gaps** – High incident volume with low change/request volume may point to inadequate self-service, automation, or monitoring, forcing manual incident intervention.</t>
        </is>
      </c>
    </row>
    <row r="122" ht="30" customHeight="1">
      <c r="A122" s="10" t="inlineStr">
        <is>
          <t>- **Staffing misalignment** – Data implies team is sized or skilled primarily for incident response, with no dedicated roles for problem or change management. Management may lack visibility into capacity vs. demand metrics.</t>
        </is>
      </c>
    </row>
    <row r="123" ht="6" customHeight="1"/>
    <row r="124" ht="30" customHeight="1">
      <c r="A124" s="10" t="inlineStr">
        <is>
          <t>**Data-Specific Patterns:**</t>
        </is>
      </c>
    </row>
    <row r="125" ht="30" customHeight="1">
      <c r="A125" s="10" t="inlineStr">
        <is>
          <t>- The “At Risk” Health Grade directly correlates with the 98.4% incident workload share, confirming imbalance as a key risk driver.</t>
        </is>
      </c>
    </row>
    <row r="126" ht="30" customHeight="1">
      <c r="A126" s="10" t="inlineStr">
        <is>
          <t>- With only 0.56% of tickets being problems (50 of 9,127), the problem management process is either not being followed or is grossly under-prioritized.</t>
        </is>
      </c>
    </row>
    <row r="127" ht="6" customHeight="1"/>
    <row r="128" ht="30" customHeight="1">
      <c r="A128" s="11" t="inlineStr">
        <is>
          <t>💡 Recommendations:</t>
        </is>
      </c>
    </row>
    <row r="129" ht="30" customHeight="1">
      <c r="A129" s="10" t="inlineStr">
        <is>
          <t>1. Implement an incident triage and automation initiative to deflect at least 30% of repeat incidents through enhanced self-service and monitoring alerts.</t>
        </is>
      </c>
    </row>
    <row r="130" ht="30" customHeight="1">
      <c r="A130" s="10" t="inlineStr">
        <is>
          <t>2. Launch a cross-training program to rotate 20% of incident staff into problem and change management roles each quarter to build skill diversity.</t>
        </is>
      </c>
    </row>
    <row r="131" ht="6" customHeight="1"/>
    <row r="132" ht="30" customHeight="1">
      <c r="A132" s="11" t="inlineStr">
        <is>
          <t>📈 Expected Impact:</t>
        </is>
      </c>
    </row>
    <row r="133" ht="30" customHeight="1">
      <c r="A133" s="10" t="inlineStr">
        <is>
          <t>Reduce incident volume by 30% within 6 months, improving Health Grade from “At Risk” to “Stable” and freeing 1,350 hours for proactive problem resolution.</t>
        </is>
      </c>
    </row>
    <row r="134" ht="10" customHeight="1"/>
    <row r="135" ht="10" customHeight="1"/>
    <row r="136">
      <c r="A136" s="12" t="inlineStr">
        <is>
          <t>Generated by Customer Cross-Overview Report • 2026-01-31 09:36</t>
        </is>
      </c>
    </row>
  </sheetData>
  <mergeCells count="30">
    <mergeCell ref="A116:J116"/>
    <mergeCell ref="A5:J5"/>
    <mergeCell ref="A32:J32"/>
    <mergeCell ref="A126:J126"/>
    <mergeCell ref="A62:J62"/>
    <mergeCell ref="A122:J122"/>
    <mergeCell ref="A109:J109"/>
    <mergeCell ref="A4:J4"/>
    <mergeCell ref="A125:J125"/>
    <mergeCell ref="A121:J121"/>
    <mergeCell ref="A112:J112"/>
    <mergeCell ref="A115:J115"/>
    <mergeCell ref="A117:J117"/>
    <mergeCell ref="A111:J111"/>
    <mergeCell ref="A130:J130"/>
    <mergeCell ref="A39:J39"/>
    <mergeCell ref="A1:J1"/>
    <mergeCell ref="A132:J132"/>
    <mergeCell ref="A61:J61"/>
    <mergeCell ref="A110:J110"/>
    <mergeCell ref="A124:J124"/>
    <mergeCell ref="A128:J128"/>
    <mergeCell ref="A118:J118"/>
    <mergeCell ref="A133:J133"/>
    <mergeCell ref="A89:J89"/>
    <mergeCell ref="A120:J120"/>
    <mergeCell ref="A136:J136"/>
    <mergeCell ref="A113:J113"/>
    <mergeCell ref="A2:J2"/>
    <mergeCell ref="A129:J129"/>
  </mergeCells>
  <conditionalFormatting sqref="B92:T106">
    <cfRule type="colorScale" priority="1">
      <colorScale>
        <cfvo type="min"/>
        <cfvo type="percentile" val="50"/>
        <cfvo type="max"/>
        <color rgb="00F7FCF5"/>
        <color rgb="00FEB24C"/>
        <color rgb="00E31A1C"/>
      </colorScale>
    </cfRule>
  </conditionalFormatting>
  <pageMargins left="0.75" right="0.75" top="1" bottom="1" header="0.5" footer="0.5"/>
  <pageSetup orientation="landscape" fitToHeight="0" fitToWidth="1"/>
  <drawing xmlns:r="http://schemas.openxmlformats.org/officeDocument/2006/relationships" r:id="rId1"/>
</worksheet>
</file>

<file path=xl/worksheets/sheet10.xml><?xml version="1.0" encoding="utf-8"?>
<worksheet xmlns="http://schemas.openxmlformats.org/spreadsheetml/2006/main">
  <sheetPr>
    <tabColor rgb="00ec4899"/>
    <outlinePr summaryBelow="1" summaryRight="1"/>
    <pageSetUpPr fitToPage="1"/>
  </sheetPr>
  <dimension ref="A1:J142"/>
  <sheetViews>
    <sheetView workbookViewId="0">
      <selection activeCell="A1" sqref="A1"/>
    </sheetView>
  </sheetViews>
  <sheetFormatPr baseColWidth="8" defaultRowHeight="15"/>
  <cols>
    <col width="17" customWidth="1" min="1" max="1"/>
    <col width="15" customWidth="1" min="2" max="2"/>
    <col width="10" customWidth="1" min="3" max="3"/>
    <col width="10" customWidth="1" min="4" max="4"/>
    <col width="15" customWidth="1" min="5" max="5"/>
    <col width="41" customWidth="1" min="6" max="6"/>
    <col width="15" customWidth="1" min="7" max="7"/>
    <col width="13" customWidth="1" min="8" max="8"/>
    <col width="11" customWidth="1" min="9" max="9"/>
    <col width="14" customWidth="1" min="10" max="10"/>
  </cols>
  <sheetData>
    <row r="1" ht="36" customHeight="1">
      <c r="A1" s="1" t="inlineStr">
        <is>
          <t>CRO_Time Analysis</t>
        </is>
      </c>
    </row>
    <row r="2" ht="22" customHeight="1">
      <c r="A2" s="2" t="inlineStr">
        <is>
          <t>2024-04-19 — 2025-07-06</t>
        </is>
      </c>
    </row>
    <row r="3" ht="10" customHeight="1"/>
    <row r="4" ht="26" customHeight="1">
      <c r="A4" s="3" t="inlineStr">
        <is>
          <t>Data Tables</t>
        </is>
      </c>
    </row>
    <row r="5" ht="26" customHeight="1">
      <c r="A5" s="3" t="inlineStr">
        <is>
          <t>Monthly Trends</t>
        </is>
      </c>
    </row>
    <row r="6" ht="20" customHeight="1">
      <c r="A6" s="4" t="inlineStr">
        <is>
          <t>Period</t>
        </is>
      </c>
      <c r="B6" s="4" t="inlineStr">
        <is>
          <t>Incidents</t>
        </is>
      </c>
      <c r="C6" s="4" t="inlineStr">
        <is>
          <t>Changes</t>
        </is>
      </c>
      <c r="D6" s="4" t="inlineStr">
        <is>
          <t>Requests</t>
        </is>
      </c>
      <c r="E6" s="4" t="inlineStr">
        <is>
          <t>Problems</t>
        </is>
      </c>
      <c r="F6" s="4" t="inlineStr">
        <is>
          <t>Completion Rate</t>
        </is>
      </c>
      <c r="G6" s="4" t="inlineStr">
        <is>
          <t>Avg Resolve</t>
        </is>
      </c>
      <c r="H6" s="4" t="inlineStr">
        <is>
          <t>High Pri%</t>
        </is>
      </c>
      <c r="I6" s="4" t="inlineStr">
        <is>
          <t>MoM</t>
        </is>
      </c>
      <c r="J6" s="4" t="inlineStr">
        <is>
          <t>Assessment</t>
        </is>
      </c>
    </row>
    <row r="7" ht="18" customHeight="1">
      <c r="A7" s="5" t="inlineStr">
        <is>
          <t>2024-04</t>
        </is>
      </c>
      <c r="B7" s="13" t="n">
        <v>195</v>
      </c>
      <c r="C7" s="13" t="n">
        <v>0</v>
      </c>
      <c r="D7" s="13" t="n">
        <v>0</v>
      </c>
      <c r="E7" s="13" t="n">
        <v>0</v>
      </c>
      <c r="F7" s="5" t="inlineStr">
        <is>
          <t>46.2%</t>
        </is>
      </c>
      <c r="G7" s="5" t="inlineStr">
        <is>
          <t>5.9d</t>
        </is>
      </c>
      <c r="H7" s="5" t="inlineStr">
        <is>
          <t>22.6%</t>
        </is>
      </c>
      <c r="I7" s="5" t="inlineStr">
        <is>
          <t>N/A</t>
        </is>
      </c>
      <c r="J7" s="5" t="inlineStr"/>
    </row>
    <row r="8" ht="18" customHeight="1">
      <c r="A8" s="6" t="inlineStr">
        <is>
          <t>2024-05</t>
        </is>
      </c>
      <c r="B8" s="14" t="n">
        <v>725</v>
      </c>
      <c r="C8" s="14" t="n">
        <v>0</v>
      </c>
      <c r="D8" s="14" t="n">
        <v>0</v>
      </c>
      <c r="E8" s="14" t="n">
        <v>0</v>
      </c>
      <c r="F8" s="6" t="inlineStr">
        <is>
          <t>60.3%</t>
        </is>
      </c>
      <c r="G8" s="6" t="inlineStr">
        <is>
          <t>2.4d</t>
        </is>
      </c>
      <c r="H8" s="6" t="inlineStr">
        <is>
          <t>18.1%</t>
        </is>
      </c>
      <c r="I8" s="6" t="inlineStr">
        <is>
          <t>+271.8%</t>
        </is>
      </c>
      <c r="J8" s="6" t="inlineStr">
        <is>
          <t>Increasing</t>
        </is>
      </c>
    </row>
    <row r="9" ht="18" customHeight="1">
      <c r="A9" s="5" t="inlineStr">
        <is>
          <t>2024-06</t>
        </is>
      </c>
      <c r="B9" s="13" t="n">
        <v>924</v>
      </c>
      <c r="C9" s="13" t="n">
        <v>0</v>
      </c>
      <c r="D9" s="13" t="n">
        <v>0</v>
      </c>
      <c r="E9" s="13" t="n">
        <v>0</v>
      </c>
      <c r="F9" s="5" t="inlineStr">
        <is>
          <t>62.9%</t>
        </is>
      </c>
      <c r="G9" s="5" t="inlineStr">
        <is>
          <t>25.2h</t>
        </is>
      </c>
      <c r="H9" s="5" t="inlineStr">
        <is>
          <t>20.6%</t>
        </is>
      </c>
      <c r="I9" s="5" t="inlineStr">
        <is>
          <t>+27.4%</t>
        </is>
      </c>
      <c r="J9" s="5" t="inlineStr">
        <is>
          <t>Increasing</t>
        </is>
      </c>
    </row>
    <row r="10" ht="18" customHeight="1">
      <c r="A10" s="6" t="inlineStr">
        <is>
          <t>2024-07</t>
        </is>
      </c>
      <c r="B10" s="14" t="n">
        <v>1007</v>
      </c>
      <c r="C10" s="14" t="n">
        <v>0</v>
      </c>
      <c r="D10" s="14" t="n">
        <v>0</v>
      </c>
      <c r="E10" s="14" t="n">
        <v>0</v>
      </c>
      <c r="F10" s="6" t="inlineStr">
        <is>
          <t>64.3%</t>
        </is>
      </c>
      <c r="G10" s="6" t="inlineStr">
        <is>
          <t>24.3h</t>
        </is>
      </c>
      <c r="H10" s="6" t="inlineStr">
        <is>
          <t>20.4%</t>
        </is>
      </c>
      <c r="I10" s="6" t="inlineStr">
        <is>
          <t>+9.0%</t>
        </is>
      </c>
      <c r="J10" s="6" t="inlineStr">
        <is>
          <t>Increasing</t>
        </is>
      </c>
    </row>
    <row r="11" ht="18" customHeight="1">
      <c r="A11" s="5" t="inlineStr">
        <is>
          <t>2024-08</t>
        </is>
      </c>
      <c r="B11" s="13" t="n">
        <v>712</v>
      </c>
      <c r="C11" s="13" t="n">
        <v>0</v>
      </c>
      <c r="D11" s="13" t="n">
        <v>0</v>
      </c>
      <c r="E11" s="13" t="n">
        <v>0</v>
      </c>
      <c r="F11" s="5" t="inlineStr">
        <is>
          <t>62.8%</t>
        </is>
      </c>
      <c r="G11" s="5" t="inlineStr">
        <is>
          <t>24.7h</t>
        </is>
      </c>
      <c r="H11" s="5" t="inlineStr">
        <is>
          <t>21.1%</t>
        </is>
      </c>
      <c r="I11" s="5" t="inlineStr">
        <is>
          <t>-29.3%</t>
        </is>
      </c>
      <c r="J11" s="5" t="inlineStr">
        <is>
          <t>Improving</t>
        </is>
      </c>
    </row>
    <row r="12" ht="18" customHeight="1">
      <c r="A12" s="6" t="inlineStr">
        <is>
          <t>2024-09</t>
        </is>
      </c>
      <c r="B12" s="14" t="n">
        <v>621</v>
      </c>
      <c r="C12" s="14" t="n">
        <v>0</v>
      </c>
      <c r="D12" s="14" t="n">
        <v>0</v>
      </c>
      <c r="E12" s="14" t="n">
        <v>0</v>
      </c>
      <c r="F12" s="6" t="inlineStr">
        <is>
          <t>74.6%</t>
        </is>
      </c>
      <c r="G12" s="6" t="inlineStr">
        <is>
          <t>16.8h</t>
        </is>
      </c>
      <c r="H12" s="6" t="inlineStr">
        <is>
          <t>21.7%</t>
        </is>
      </c>
      <c r="I12" s="6" t="inlineStr">
        <is>
          <t>-12.8%</t>
        </is>
      </c>
      <c r="J12" s="6" t="inlineStr">
        <is>
          <t>Improving</t>
        </is>
      </c>
    </row>
    <row r="13" ht="18" customHeight="1">
      <c r="A13" s="5" t="inlineStr">
        <is>
          <t>2024-10</t>
        </is>
      </c>
      <c r="B13" s="13" t="n">
        <v>542</v>
      </c>
      <c r="C13" s="13" t="n">
        <v>0</v>
      </c>
      <c r="D13" s="13" t="n">
        <v>0</v>
      </c>
      <c r="E13" s="13" t="n">
        <v>0</v>
      </c>
      <c r="F13" s="5" t="inlineStr">
        <is>
          <t>69.4%</t>
        </is>
      </c>
      <c r="G13" s="5" t="inlineStr">
        <is>
          <t>20.3h</t>
        </is>
      </c>
      <c r="H13" s="5" t="inlineStr">
        <is>
          <t>19.0%</t>
        </is>
      </c>
      <c r="I13" s="5" t="inlineStr">
        <is>
          <t>-12.7%</t>
        </is>
      </c>
      <c r="J13" s="5" t="inlineStr">
        <is>
          <t>Improving</t>
        </is>
      </c>
    </row>
    <row r="14" ht="18" customHeight="1">
      <c r="A14" s="6" t="inlineStr">
        <is>
          <t>2024-11</t>
        </is>
      </c>
      <c r="B14" s="14" t="n">
        <v>441</v>
      </c>
      <c r="C14" s="14" t="n">
        <v>7</v>
      </c>
      <c r="D14" s="14" t="n">
        <v>9</v>
      </c>
      <c r="E14" s="14" t="n">
        <v>11</v>
      </c>
      <c r="F14" s="6" t="inlineStr">
        <is>
          <t>65.8%</t>
        </is>
      </c>
      <c r="G14" s="6" t="inlineStr">
        <is>
          <t>23.8h</t>
        </is>
      </c>
      <c r="H14" s="6" t="inlineStr">
        <is>
          <t>17.7%</t>
        </is>
      </c>
      <c r="I14" s="6" t="inlineStr">
        <is>
          <t>-18.6%</t>
        </is>
      </c>
      <c r="J14" s="6" t="inlineStr">
        <is>
          <t>Improving</t>
        </is>
      </c>
    </row>
    <row r="15" ht="18" customHeight="1">
      <c r="A15" s="5" t="inlineStr">
        <is>
          <t>2024-12</t>
        </is>
      </c>
      <c r="B15" s="13" t="n">
        <v>432</v>
      </c>
      <c r="C15" s="13" t="n">
        <v>32</v>
      </c>
      <c r="D15" s="13" t="n">
        <v>30</v>
      </c>
      <c r="E15" s="13" t="n">
        <v>28</v>
      </c>
      <c r="F15" s="5" t="inlineStr">
        <is>
          <t>66.2%</t>
        </is>
      </c>
      <c r="G15" s="5" t="inlineStr">
        <is>
          <t>21.1h</t>
        </is>
      </c>
      <c r="H15" s="5" t="inlineStr">
        <is>
          <t>20.8%</t>
        </is>
      </c>
      <c r="I15" s="5" t="inlineStr">
        <is>
          <t>-2.0%</t>
        </is>
      </c>
      <c r="J15" s="5" t="inlineStr">
        <is>
          <t>Stable</t>
        </is>
      </c>
    </row>
    <row r="16" ht="18" customHeight="1">
      <c r="A16" s="6" t="inlineStr">
        <is>
          <t>2025-01</t>
        </is>
      </c>
      <c r="B16" s="14" t="n">
        <v>511</v>
      </c>
      <c r="C16" s="14" t="n">
        <v>11</v>
      </c>
      <c r="D16" s="14" t="n">
        <v>11</v>
      </c>
      <c r="E16" s="14" t="n">
        <v>11</v>
      </c>
      <c r="F16" s="6" t="inlineStr">
        <is>
          <t>65.9%</t>
        </is>
      </c>
      <c r="G16" s="6" t="inlineStr">
        <is>
          <t>21.3h</t>
        </is>
      </c>
      <c r="H16" s="6" t="inlineStr">
        <is>
          <t>20.7%</t>
        </is>
      </c>
      <c r="I16" s="6" t="inlineStr">
        <is>
          <t>+18.3%</t>
        </is>
      </c>
      <c r="J16" s="6" t="inlineStr">
        <is>
          <t>Increasing</t>
        </is>
      </c>
    </row>
    <row r="17" ht="18" customHeight="1">
      <c r="A17" s="5" t="inlineStr">
        <is>
          <t>2025-02</t>
        </is>
      </c>
      <c r="B17" s="13" t="n">
        <v>410</v>
      </c>
      <c r="C17" s="13" t="n">
        <v>0</v>
      </c>
      <c r="D17" s="13" t="n">
        <v>0</v>
      </c>
      <c r="E17" s="13" t="n">
        <v>0</v>
      </c>
      <c r="F17" s="5" t="inlineStr">
        <is>
          <t>66.8%</t>
        </is>
      </c>
      <c r="G17" s="5" t="inlineStr">
        <is>
          <t>23.6h</t>
        </is>
      </c>
      <c r="H17" s="5" t="inlineStr">
        <is>
          <t>16.6%</t>
        </is>
      </c>
      <c r="I17" s="5" t="inlineStr">
        <is>
          <t>-19.8%</t>
        </is>
      </c>
      <c r="J17" s="5" t="inlineStr">
        <is>
          <t>Improving</t>
        </is>
      </c>
    </row>
    <row r="18" ht="18" customHeight="1">
      <c r="A18" s="6" t="inlineStr">
        <is>
          <t>2025-03</t>
        </is>
      </c>
      <c r="B18" s="14" t="n">
        <v>599</v>
      </c>
      <c r="C18" s="14" t="n">
        <v>0</v>
      </c>
      <c r="D18" s="14" t="n">
        <v>0</v>
      </c>
      <c r="E18" s="14" t="n">
        <v>0</v>
      </c>
      <c r="F18" s="6" t="inlineStr">
        <is>
          <t>66.1%</t>
        </is>
      </c>
      <c r="G18" s="6" t="inlineStr">
        <is>
          <t>26.4h</t>
        </is>
      </c>
      <c r="H18" s="6" t="inlineStr">
        <is>
          <t>19.4%</t>
        </is>
      </c>
      <c r="I18" s="6" t="inlineStr">
        <is>
          <t>+46.1%</t>
        </is>
      </c>
      <c r="J18" s="6" t="inlineStr">
        <is>
          <t>Increasing</t>
        </is>
      </c>
    </row>
    <row r="19" ht="18" customHeight="1">
      <c r="A19" s="5" t="inlineStr">
        <is>
          <t>2025-04</t>
        </is>
      </c>
      <c r="B19" s="13" t="n">
        <v>491</v>
      </c>
      <c r="C19" s="13" t="n">
        <v>0</v>
      </c>
      <c r="D19" s="13" t="n">
        <v>0</v>
      </c>
      <c r="E19" s="13" t="n">
        <v>0</v>
      </c>
      <c r="F19" s="5" t="inlineStr">
        <is>
          <t>58.5%</t>
        </is>
      </c>
      <c r="G19" s="5" t="inlineStr">
        <is>
          <t>31.4h</t>
        </is>
      </c>
      <c r="H19" s="5" t="inlineStr">
        <is>
          <t>19.3%</t>
        </is>
      </c>
      <c r="I19" s="5" t="inlineStr">
        <is>
          <t>-18.0%</t>
        </is>
      </c>
      <c r="J19" s="5" t="inlineStr">
        <is>
          <t>Improving</t>
        </is>
      </c>
    </row>
    <row r="20" ht="18" customHeight="1">
      <c r="A20" s="6" t="inlineStr">
        <is>
          <t>2025-05</t>
        </is>
      </c>
      <c r="B20" s="14" t="n">
        <v>652</v>
      </c>
      <c r="C20" s="14" t="n">
        <v>0</v>
      </c>
      <c r="D20" s="14" t="n">
        <v>0</v>
      </c>
      <c r="E20" s="14" t="n">
        <v>0</v>
      </c>
      <c r="F20" s="6" t="inlineStr">
        <is>
          <t>59.4%</t>
        </is>
      </c>
      <c r="G20" s="6" t="inlineStr">
        <is>
          <t>29.9h</t>
        </is>
      </c>
      <c r="H20" s="6" t="inlineStr">
        <is>
          <t>20.6%</t>
        </is>
      </c>
      <c r="I20" s="6" t="inlineStr">
        <is>
          <t>+32.8%</t>
        </is>
      </c>
      <c r="J20" s="6" t="inlineStr">
        <is>
          <t>Increasing</t>
        </is>
      </c>
    </row>
    <row r="21" ht="18" customHeight="1">
      <c r="A21" s="5" t="inlineStr">
        <is>
          <t>2025-06</t>
        </is>
      </c>
      <c r="B21" s="13" t="n">
        <v>641</v>
      </c>
      <c r="C21" s="13" t="n">
        <v>0</v>
      </c>
      <c r="D21" s="13" t="n">
        <v>0</v>
      </c>
      <c r="E21" s="13" t="n">
        <v>0</v>
      </c>
      <c r="F21" s="5" t="inlineStr">
        <is>
          <t>66.8%</t>
        </is>
      </c>
      <c r="G21" s="5" t="inlineStr">
        <is>
          <t>23.5h</t>
        </is>
      </c>
      <c r="H21" s="5" t="inlineStr">
        <is>
          <t>20.1%</t>
        </is>
      </c>
      <c r="I21" s="5" t="inlineStr">
        <is>
          <t>-1.7%</t>
        </is>
      </c>
      <c r="J21" s="5" t="inlineStr">
        <is>
          <t>Stable</t>
        </is>
      </c>
    </row>
    <row r="22" ht="18" customHeight="1">
      <c r="A22" s="6" t="inlineStr">
        <is>
          <t>2025-07</t>
        </is>
      </c>
      <c r="B22" s="14" t="n">
        <v>74</v>
      </c>
      <c r="C22" s="14" t="n">
        <v>0</v>
      </c>
      <c r="D22" s="14" t="n">
        <v>0</v>
      </c>
      <c r="E22" s="14" t="n">
        <v>0</v>
      </c>
      <c r="F22" s="6" t="inlineStr">
        <is>
          <t>50.0%</t>
        </is>
      </c>
      <c r="G22" s="6" t="inlineStr">
        <is>
          <t>29.5h</t>
        </is>
      </c>
      <c r="H22" s="6" t="inlineStr">
        <is>
          <t>27.0%</t>
        </is>
      </c>
      <c r="I22" s="6" t="inlineStr">
        <is>
          <t>-88.5%</t>
        </is>
      </c>
      <c r="J22" s="6" t="inlineStr">
        <is>
          <t>Improving</t>
        </is>
      </c>
    </row>
    <row r="23" ht="10" customHeight="1"/>
    <row r="24" ht="26" customHeight="1">
      <c r="A24" s="3" t="inlineStr">
        <is>
          <t>Day of Week</t>
        </is>
      </c>
    </row>
    <row r="25" ht="20" customHeight="1">
      <c r="A25" s="4" t="inlineStr">
        <is>
          <t>Day</t>
        </is>
      </c>
      <c r="B25" s="4" t="inlineStr">
        <is>
          <t>Count</t>
        </is>
      </c>
      <c r="C25" s="4" t="inlineStr">
        <is>
          <t>%</t>
        </is>
      </c>
      <c r="D25" s="4" t="inlineStr">
        <is>
          <t>Avg Resolve</t>
        </is>
      </c>
      <c r="E25" s="4" t="inlineStr">
        <is>
          <t>High Pri</t>
        </is>
      </c>
      <c r="F25" s="4" t="inlineStr">
        <is>
          <t>Assessment</t>
        </is>
      </c>
    </row>
    <row r="26" ht="18" customHeight="1">
      <c r="A26" s="5" t="inlineStr">
        <is>
          <t>Monday</t>
        </is>
      </c>
      <c r="B26" s="13" t="n">
        <v>1506</v>
      </c>
      <c r="C26" s="5" t="inlineStr">
        <is>
          <t>16.8%</t>
        </is>
      </c>
      <c r="D26" s="5" t="inlineStr">
        <is>
          <t>26.1h</t>
        </is>
      </c>
      <c r="E26" s="13" t="n">
        <v>284</v>
      </c>
      <c r="F26" s="5" t="inlineStr">
        <is>
          <t>Normal</t>
        </is>
      </c>
    </row>
    <row r="27" ht="18" customHeight="1">
      <c r="A27" s="6" t="inlineStr">
        <is>
          <t>Tuesday</t>
        </is>
      </c>
      <c r="B27" s="14" t="n">
        <v>1334</v>
      </c>
      <c r="C27" s="6" t="inlineStr">
        <is>
          <t>14.9%</t>
        </is>
      </c>
      <c r="D27" s="6" t="inlineStr">
        <is>
          <t>29.6h</t>
        </is>
      </c>
      <c r="E27" s="14" t="n">
        <v>293</v>
      </c>
      <c r="F27" s="6" t="inlineStr">
        <is>
          <t>Normal</t>
        </is>
      </c>
    </row>
    <row r="28" ht="18" customHeight="1">
      <c r="A28" s="5" t="inlineStr">
        <is>
          <t>Wednesday</t>
        </is>
      </c>
      <c r="B28" s="13" t="n">
        <v>1436</v>
      </c>
      <c r="C28" s="5" t="inlineStr">
        <is>
          <t>16.0%</t>
        </is>
      </c>
      <c r="D28" s="5" t="inlineStr">
        <is>
          <t>37.7h</t>
        </is>
      </c>
      <c r="E28" s="13" t="n">
        <v>305</v>
      </c>
      <c r="F28" s="5" t="inlineStr">
        <is>
          <t>Normal</t>
        </is>
      </c>
    </row>
    <row r="29" ht="18" customHeight="1">
      <c r="A29" s="6" t="inlineStr">
        <is>
          <t>Thursday</t>
        </is>
      </c>
      <c r="B29" s="14" t="n">
        <v>1321</v>
      </c>
      <c r="C29" s="6" t="inlineStr">
        <is>
          <t>14.7%</t>
        </is>
      </c>
      <c r="D29" s="6" t="inlineStr">
        <is>
          <t>29.9h</t>
        </is>
      </c>
      <c r="E29" s="14" t="n">
        <v>239</v>
      </c>
      <c r="F29" s="6" t="inlineStr">
        <is>
          <t>Normal</t>
        </is>
      </c>
    </row>
    <row r="30" ht="18" customHeight="1">
      <c r="A30" s="5" t="inlineStr">
        <is>
          <t>Friday</t>
        </is>
      </c>
      <c r="B30" s="13" t="n">
        <v>1270</v>
      </c>
      <c r="C30" s="5" t="inlineStr">
        <is>
          <t>14.1%</t>
        </is>
      </c>
      <c r="D30" s="5" t="inlineStr">
        <is>
          <t>24.2h</t>
        </is>
      </c>
      <c r="E30" s="13" t="n">
        <v>255</v>
      </c>
      <c r="F30" s="5" t="inlineStr">
        <is>
          <t>Normal</t>
        </is>
      </c>
    </row>
    <row r="31" ht="18" customHeight="1">
      <c r="A31" s="6" t="inlineStr">
        <is>
          <t>Saturday</t>
        </is>
      </c>
      <c r="B31" s="14" t="n">
        <v>1040</v>
      </c>
      <c r="C31" s="6" t="inlineStr">
        <is>
          <t>11.6%</t>
        </is>
      </c>
      <c r="D31" s="6" t="inlineStr">
        <is>
          <t>30.1h</t>
        </is>
      </c>
      <c r="E31" s="14" t="n">
        <v>193</v>
      </c>
      <c r="F31" s="6" t="inlineStr">
        <is>
          <t>Normal</t>
        </is>
      </c>
    </row>
    <row r="32" ht="18" customHeight="1">
      <c r="A32" s="5" t="inlineStr">
        <is>
          <t>Sunday</t>
        </is>
      </c>
      <c r="B32" s="13" t="n">
        <v>1070</v>
      </c>
      <c r="C32" s="5" t="inlineStr">
        <is>
          <t>11.9%</t>
        </is>
      </c>
      <c r="D32" s="5" t="inlineStr">
        <is>
          <t>27.2h</t>
        </is>
      </c>
      <c r="E32" s="13" t="n">
        <v>225</v>
      </c>
      <c r="F32" s="5" t="inlineStr">
        <is>
          <t>Normal</t>
        </is>
      </c>
    </row>
    <row r="33" ht="10" customHeight="1"/>
    <row r="34" ht="26" customHeight="1">
      <c r="A34" s="3" t="inlineStr">
        <is>
          <t>Hour of Day</t>
        </is>
      </c>
    </row>
    <row r="35" ht="20" customHeight="1">
      <c r="A35" s="4" t="inlineStr">
        <is>
          <t>Period</t>
        </is>
      </c>
      <c r="B35" s="4" t="inlineStr">
        <is>
          <t>Hours</t>
        </is>
      </c>
      <c r="C35" s="4" t="inlineStr">
        <is>
          <t>Count</t>
        </is>
      </c>
      <c r="D35" s="4" t="inlineStr">
        <is>
          <t>%</t>
        </is>
      </c>
      <c r="E35" s="4" t="inlineStr">
        <is>
          <t>Avg Resolve</t>
        </is>
      </c>
      <c r="F35" s="4" t="inlineStr">
        <is>
          <t>Suggestion</t>
        </is>
      </c>
    </row>
    <row r="36" ht="18" customHeight="1">
      <c r="A36" s="5" t="inlineStr">
        <is>
          <t>Early Morning</t>
        </is>
      </c>
      <c r="B36" s="5" t="inlineStr">
        <is>
          <t>00:00-05:59</t>
        </is>
      </c>
      <c r="C36" s="13" t="n">
        <v>1133</v>
      </c>
      <c r="D36" s="5" t="inlineStr">
        <is>
          <t>12.6%</t>
        </is>
      </c>
      <c r="E36" s="5" t="inlineStr">
        <is>
          <t>27.5h</t>
        </is>
      </c>
      <c r="F36" s="5" t="inlineStr">
        <is>
          <t>Consider on-call staffing adjustments</t>
        </is>
      </c>
    </row>
    <row r="37" ht="18" customHeight="1">
      <c r="A37" s="6" t="inlineStr">
        <is>
          <t>Morning</t>
        </is>
      </c>
      <c r="B37" s="6" t="inlineStr">
        <is>
          <t>06:00-11:59</t>
        </is>
      </c>
      <c r="C37" s="14" t="n">
        <v>2576</v>
      </c>
      <c r="D37" s="6" t="inlineStr">
        <is>
          <t>28.7%</t>
        </is>
      </c>
      <c r="E37" s="6" t="inlineStr">
        <is>
          <t>25.7h</t>
        </is>
      </c>
      <c r="F37" s="6" t="inlineStr">
        <is>
          <t>Ensure full team availability</t>
        </is>
      </c>
    </row>
    <row r="38" ht="18" customHeight="1">
      <c r="A38" s="5" t="inlineStr">
        <is>
          <t>Afternoon</t>
        </is>
      </c>
      <c r="B38" s="5" t="inlineStr">
        <is>
          <t>12:00-17:59</t>
        </is>
      </c>
      <c r="C38" s="13" t="n">
        <v>3240</v>
      </c>
      <c r="D38" s="5" t="inlineStr">
        <is>
          <t>36.1%</t>
        </is>
      </c>
      <c r="E38" s="5" t="inlineStr">
        <is>
          <t>28.6h</t>
        </is>
      </c>
      <c r="F38" s="5" t="inlineStr">
        <is>
          <t>Monitor post-lunch productivity</t>
        </is>
      </c>
    </row>
    <row r="39" ht="18" customHeight="1">
      <c r="A39" s="6" t="inlineStr">
        <is>
          <t>Evening</t>
        </is>
      </c>
      <c r="B39" s="6" t="inlineStr">
        <is>
          <t>18:00-23:59</t>
        </is>
      </c>
      <c r="C39" s="14" t="n">
        <v>2028</v>
      </c>
      <c r="D39" s="6" t="inlineStr">
        <is>
          <t>22.6%</t>
        </is>
      </c>
      <c r="E39" s="6" t="inlineStr">
        <is>
          <t>36.3h</t>
        </is>
      </c>
      <c r="F39" s="6" t="inlineStr">
        <is>
          <t>Evaluate after-hours support needs</t>
        </is>
      </c>
    </row>
    <row r="40" ht="10" customHeight="1"/>
    <row r="41" ht="26" customHeight="1">
      <c r="A41" s="3" t="inlineStr">
        <is>
          <t>Visual Analysis</t>
        </is>
      </c>
    </row>
    <row r="42" ht="16" customHeight="1">
      <c r="A42" s="8" t="inlineStr">
        <is>
          <t>Four ITIL process volume trends over time</t>
        </is>
      </c>
    </row>
    <row r="69" ht="16" customHeight="1">
      <c r="A69" s="8" t="inlineStr">
        <is>
          <t>Incident volume by day of week</t>
        </is>
      </c>
    </row>
    <row r="96">
      <c r="A96" s="15" t="inlineStr">
        <is>
          <t>Hourly Incident Heatmap</t>
        </is>
      </c>
    </row>
    <row r="97">
      <c r="A97" t="inlineStr">
        <is>
          <t>Hour</t>
        </is>
      </c>
      <c r="B97" t="inlineStr">
        <is>
          <t>Monday</t>
        </is>
      </c>
      <c r="C97" t="inlineStr">
        <is>
          <t>Tuesday</t>
        </is>
      </c>
      <c r="D97" t="inlineStr">
        <is>
          <t>Wednesday</t>
        </is>
      </c>
      <c r="E97" t="inlineStr">
        <is>
          <t>Thursday</t>
        </is>
      </c>
      <c r="F97" t="inlineStr">
        <is>
          <t>Friday</t>
        </is>
      </c>
      <c r="G97" t="inlineStr">
        <is>
          <t>Saturday</t>
        </is>
      </c>
      <c r="H97" t="inlineStr">
        <is>
          <t>Sunday</t>
        </is>
      </c>
    </row>
    <row r="98">
      <c r="A98" t="inlineStr">
        <is>
          <t>0</t>
        </is>
      </c>
      <c r="B98" t="n">
        <v>88</v>
      </c>
      <c r="C98" t="n">
        <v>50</v>
      </c>
      <c r="D98" t="n">
        <v>55</v>
      </c>
      <c r="E98" t="n">
        <v>41</v>
      </c>
      <c r="F98" t="n">
        <v>52</v>
      </c>
      <c r="G98" t="n">
        <v>67</v>
      </c>
      <c r="H98" t="n">
        <v>39</v>
      </c>
    </row>
    <row r="99">
      <c r="A99" t="inlineStr">
        <is>
          <t>1</t>
        </is>
      </c>
      <c r="B99" t="n">
        <v>59</v>
      </c>
      <c r="C99" t="n">
        <v>41</v>
      </c>
      <c r="D99" t="n">
        <v>42</v>
      </c>
      <c r="E99" t="n">
        <v>41</v>
      </c>
      <c r="F99" t="n">
        <v>39</v>
      </c>
      <c r="G99" t="n">
        <v>34</v>
      </c>
      <c r="H99" t="n">
        <v>43</v>
      </c>
    </row>
    <row r="100">
      <c r="A100" t="inlineStr">
        <is>
          <t>2</t>
        </is>
      </c>
      <c r="B100" t="n">
        <v>31</v>
      </c>
      <c r="C100" t="n">
        <v>12</v>
      </c>
      <c r="D100" t="n">
        <v>24</v>
      </c>
      <c r="E100" t="n">
        <v>22</v>
      </c>
      <c r="F100" t="n">
        <v>20</v>
      </c>
      <c r="G100" t="n">
        <v>21</v>
      </c>
      <c r="H100" t="n">
        <v>19</v>
      </c>
    </row>
    <row r="101">
      <c r="A101" t="inlineStr">
        <is>
          <t>3</t>
        </is>
      </c>
      <c r="B101" t="n">
        <v>13</v>
      </c>
      <c r="C101" t="n">
        <v>11</v>
      </c>
      <c r="D101" t="n">
        <v>16</v>
      </c>
      <c r="E101" t="n">
        <v>14</v>
      </c>
      <c r="F101" t="n">
        <v>11</v>
      </c>
      <c r="G101" t="n">
        <v>11</v>
      </c>
      <c r="H101" t="n">
        <v>17</v>
      </c>
    </row>
    <row r="102">
      <c r="A102" t="inlineStr">
        <is>
          <t>4</t>
        </is>
      </c>
      <c r="B102" t="n">
        <v>16</v>
      </c>
      <c r="C102" t="n">
        <v>20</v>
      </c>
      <c r="D102" t="n">
        <v>20</v>
      </c>
      <c r="E102" t="n">
        <v>14</v>
      </c>
      <c r="F102" t="n">
        <v>19</v>
      </c>
      <c r="G102" t="n">
        <v>14</v>
      </c>
      <c r="H102" t="n">
        <v>24</v>
      </c>
    </row>
    <row r="103">
      <c r="A103" t="inlineStr">
        <is>
          <t>5</t>
        </is>
      </c>
      <c r="B103" t="n">
        <v>12</v>
      </c>
      <c r="C103" t="n">
        <v>5</v>
      </c>
      <c r="D103" t="n">
        <v>14</v>
      </c>
      <c r="E103" t="n">
        <v>14</v>
      </c>
      <c r="F103" t="n">
        <v>6</v>
      </c>
      <c r="G103" t="n">
        <v>11</v>
      </c>
      <c r="H103" t="n">
        <v>11</v>
      </c>
    </row>
    <row r="104">
      <c r="A104" t="inlineStr">
        <is>
          <t>6</t>
        </is>
      </c>
      <c r="B104" t="n">
        <v>56</v>
      </c>
      <c r="C104" t="n">
        <v>50</v>
      </c>
      <c r="D104" t="n">
        <v>56</v>
      </c>
      <c r="E104" t="n">
        <v>89</v>
      </c>
      <c r="F104" t="n">
        <v>57</v>
      </c>
      <c r="G104" t="n">
        <v>71</v>
      </c>
      <c r="H104" t="n">
        <v>91</v>
      </c>
    </row>
    <row r="105">
      <c r="A105" t="inlineStr">
        <is>
          <t>7</t>
        </is>
      </c>
      <c r="B105" t="n">
        <v>40</v>
      </c>
      <c r="C105" t="n">
        <v>49</v>
      </c>
      <c r="D105" t="n">
        <v>47</v>
      </c>
      <c r="E105" t="n">
        <v>32</v>
      </c>
      <c r="F105" t="n">
        <v>37</v>
      </c>
      <c r="G105" t="n">
        <v>38</v>
      </c>
      <c r="H105" t="n">
        <v>49</v>
      </c>
    </row>
    <row r="106">
      <c r="A106" t="inlineStr">
        <is>
          <t>8</t>
        </is>
      </c>
      <c r="B106" t="n">
        <v>35</v>
      </c>
      <c r="C106" t="n">
        <v>49</v>
      </c>
      <c r="D106" t="n">
        <v>67</v>
      </c>
      <c r="E106" t="n">
        <v>42</v>
      </c>
      <c r="F106" t="n">
        <v>49</v>
      </c>
      <c r="G106" t="n">
        <v>48</v>
      </c>
      <c r="H106" t="n">
        <v>50</v>
      </c>
    </row>
    <row r="107">
      <c r="A107" t="inlineStr">
        <is>
          <t>9</t>
        </is>
      </c>
      <c r="B107" t="n">
        <v>58</v>
      </c>
      <c r="C107" t="n">
        <v>66</v>
      </c>
      <c r="D107" t="n">
        <v>62</v>
      </c>
      <c r="E107" t="n">
        <v>81</v>
      </c>
      <c r="F107" t="n">
        <v>65</v>
      </c>
      <c r="G107" t="n">
        <v>70</v>
      </c>
      <c r="H107" t="n">
        <v>40</v>
      </c>
    </row>
    <row r="108">
      <c r="A108" t="inlineStr">
        <is>
          <t>10</t>
        </is>
      </c>
      <c r="B108" t="n">
        <v>84</v>
      </c>
      <c r="C108" t="n">
        <v>77</v>
      </c>
      <c r="D108" t="n">
        <v>64</v>
      </c>
      <c r="E108" t="n">
        <v>67</v>
      </c>
      <c r="F108" t="n">
        <v>67</v>
      </c>
      <c r="G108" t="n">
        <v>53</v>
      </c>
      <c r="H108" t="n">
        <v>48</v>
      </c>
    </row>
    <row r="109">
      <c r="A109" t="inlineStr">
        <is>
          <t>11</t>
        </is>
      </c>
      <c r="B109" t="n">
        <v>100</v>
      </c>
      <c r="C109" t="n">
        <v>78</v>
      </c>
      <c r="D109" t="n">
        <v>102</v>
      </c>
      <c r="E109" t="n">
        <v>81</v>
      </c>
      <c r="F109" t="n">
        <v>90</v>
      </c>
      <c r="G109" t="n">
        <v>65</v>
      </c>
      <c r="H109" t="n">
        <v>56</v>
      </c>
    </row>
    <row r="110">
      <c r="A110" t="inlineStr">
        <is>
          <t>12</t>
        </is>
      </c>
      <c r="B110" t="n">
        <v>101</v>
      </c>
      <c r="C110" t="n">
        <v>81</v>
      </c>
      <c r="D110" t="n">
        <v>88</v>
      </c>
      <c r="E110" t="n">
        <v>83</v>
      </c>
      <c r="F110" t="n">
        <v>80</v>
      </c>
      <c r="G110" t="n">
        <v>64</v>
      </c>
      <c r="H110" t="n">
        <v>53</v>
      </c>
    </row>
    <row r="111">
      <c r="A111" t="inlineStr">
        <is>
          <t>13</t>
        </is>
      </c>
      <c r="B111" t="n">
        <v>122</v>
      </c>
      <c r="C111" t="n">
        <v>95</v>
      </c>
      <c r="D111" t="n">
        <v>104</v>
      </c>
      <c r="E111" t="n">
        <v>73</v>
      </c>
      <c r="F111" t="n">
        <v>80</v>
      </c>
      <c r="G111" t="n">
        <v>63</v>
      </c>
      <c r="H111" t="n">
        <v>61</v>
      </c>
    </row>
    <row r="112">
      <c r="A112" t="inlineStr">
        <is>
          <t>14</t>
        </is>
      </c>
      <c r="B112" t="n">
        <v>98</v>
      </c>
      <c r="C112" t="n">
        <v>85</v>
      </c>
      <c r="D112" t="n">
        <v>94</v>
      </c>
      <c r="E112" t="n">
        <v>84</v>
      </c>
      <c r="F112" t="n">
        <v>69</v>
      </c>
      <c r="G112" t="n">
        <v>56</v>
      </c>
      <c r="H112" t="n">
        <v>52</v>
      </c>
    </row>
    <row r="113">
      <c r="A113" t="inlineStr">
        <is>
          <t>15</t>
        </is>
      </c>
      <c r="B113" t="n">
        <v>127</v>
      </c>
      <c r="C113" t="n">
        <v>85</v>
      </c>
      <c r="D113" t="n">
        <v>74</v>
      </c>
      <c r="E113" t="n">
        <v>76</v>
      </c>
      <c r="F113" t="n">
        <v>82</v>
      </c>
      <c r="G113" t="n">
        <v>62</v>
      </c>
      <c r="H113" t="n">
        <v>54</v>
      </c>
    </row>
    <row r="114">
      <c r="A114" t="inlineStr">
        <is>
          <t>16</t>
        </is>
      </c>
      <c r="B114" t="n">
        <v>95</v>
      </c>
      <c r="C114" t="n">
        <v>95</v>
      </c>
      <c r="D114" t="n">
        <v>95</v>
      </c>
      <c r="E114" t="n">
        <v>87</v>
      </c>
      <c r="F114" t="n">
        <v>71</v>
      </c>
      <c r="G114" t="n">
        <v>38</v>
      </c>
      <c r="H114" t="n">
        <v>63</v>
      </c>
    </row>
    <row r="115">
      <c r="A115" t="inlineStr">
        <is>
          <t>17</t>
        </is>
      </c>
      <c r="B115" t="n">
        <v>83</v>
      </c>
      <c r="C115" t="n">
        <v>67</v>
      </c>
      <c r="D115" t="n">
        <v>74</v>
      </c>
      <c r="E115" t="n">
        <v>70</v>
      </c>
      <c r="F115" t="n">
        <v>75</v>
      </c>
      <c r="G115" t="n">
        <v>40</v>
      </c>
      <c r="H115" t="n">
        <v>41</v>
      </c>
    </row>
    <row r="116">
      <c r="A116" t="inlineStr">
        <is>
          <t>18</t>
        </is>
      </c>
      <c r="B116" t="n">
        <v>61</v>
      </c>
      <c r="C116" t="n">
        <v>60</v>
      </c>
      <c r="D116" t="n">
        <v>87</v>
      </c>
      <c r="E116" t="n">
        <v>69</v>
      </c>
      <c r="F116" t="n">
        <v>67</v>
      </c>
      <c r="G116" t="n">
        <v>44</v>
      </c>
      <c r="H116" t="n">
        <v>48</v>
      </c>
    </row>
    <row r="117">
      <c r="A117" t="inlineStr">
        <is>
          <t>19</t>
        </is>
      </c>
      <c r="B117" t="n">
        <v>46</v>
      </c>
      <c r="C117" t="n">
        <v>43</v>
      </c>
      <c r="D117" t="n">
        <v>50</v>
      </c>
      <c r="E117" t="n">
        <v>40</v>
      </c>
      <c r="F117" t="n">
        <v>52</v>
      </c>
      <c r="G117" t="n">
        <v>48</v>
      </c>
      <c r="H117" t="n">
        <v>37</v>
      </c>
    </row>
    <row r="118">
      <c r="A118" t="inlineStr">
        <is>
          <t>20</t>
        </is>
      </c>
      <c r="B118" t="n">
        <v>40</v>
      </c>
      <c r="C118" t="n">
        <v>43</v>
      </c>
      <c r="D118" t="n">
        <v>62</v>
      </c>
      <c r="E118" t="n">
        <v>49</v>
      </c>
      <c r="F118" t="n">
        <v>40</v>
      </c>
      <c r="G118" t="n">
        <v>29</v>
      </c>
      <c r="H118" t="n">
        <v>38</v>
      </c>
    </row>
    <row r="119">
      <c r="A119" t="inlineStr">
        <is>
          <t>21</t>
        </is>
      </c>
      <c r="B119" t="n">
        <v>58</v>
      </c>
      <c r="C119" t="n">
        <v>65</v>
      </c>
      <c r="D119" t="n">
        <v>56</v>
      </c>
      <c r="E119" t="n">
        <v>50</v>
      </c>
      <c r="F119" t="n">
        <v>49</v>
      </c>
      <c r="G119" t="n">
        <v>38</v>
      </c>
      <c r="H119" t="n">
        <v>62</v>
      </c>
    </row>
    <row r="120">
      <c r="A120" t="inlineStr">
        <is>
          <t>22</t>
        </is>
      </c>
      <c r="B120" t="n">
        <v>44</v>
      </c>
      <c r="C120" t="n">
        <v>54</v>
      </c>
      <c r="D120" t="n">
        <v>51</v>
      </c>
      <c r="E120" t="n">
        <v>52</v>
      </c>
      <c r="F120" t="n">
        <v>47</v>
      </c>
      <c r="G120" t="n">
        <v>27</v>
      </c>
      <c r="H120" t="n">
        <v>36</v>
      </c>
    </row>
    <row r="121">
      <c r="A121" t="inlineStr">
        <is>
          <t>23</t>
        </is>
      </c>
      <c r="B121" t="n">
        <v>39</v>
      </c>
      <c r="C121" t="n">
        <v>53</v>
      </c>
      <c r="D121" t="n">
        <v>32</v>
      </c>
      <c r="E121" t="n">
        <v>50</v>
      </c>
      <c r="F121" t="n">
        <v>46</v>
      </c>
      <c r="G121" t="n">
        <v>28</v>
      </c>
      <c r="H121" t="n">
        <v>38</v>
      </c>
    </row>
    <row r="123" ht="10" customHeight="1"/>
    <row r="124" ht="26" customHeight="1">
      <c r="A124" s="9" t="inlineStr">
        <is>
          <t>🤖 AI Insight</t>
        </is>
      </c>
    </row>
    <row r="125" ht="30" customHeight="1">
      <c r="A125" s="11" t="inlineStr">
        <is>
          <t>📌 Finding:</t>
        </is>
      </c>
    </row>
    <row r="126" ht="30" customHeight="1">
      <c r="A126" s="10" t="inlineStr">
        <is>
          <t>1. **Critical Health Score Deficiency**: The IT operations health score is 33/100, indicating severe systemic issues. This score is 67 points below the target threshold of 100, correlating directly with the high incident volume (8,977) and prolonged resolution times.</t>
        </is>
      </c>
    </row>
    <row r="127" ht="30" customHeight="1">
      <c r="A127" s="10" t="inlineStr">
        <is>
          <t>2. **Excessive Mean Time to Resolution (MTTR)**: Average MTTR is 29.4 hours, far exceeding industry benchmarks for standard incidents (typically under 4 hours). This prolonged resolution time suggests chronic inefficiencies in incident management workflows.</t>
        </is>
      </c>
    </row>
    <row r="128" ht="30" customHeight="1">
      <c r="A128" s="10" t="inlineStr">
        <is>
          <t>3. **High Incident Volume with Temporal Instability**: 8,977 total incidents indicate a high-frequency event environment. With Week-over-Week (WoW) and Month-over-Month (MoM) comparisons available, preliminary data suggests recurring peaks—likely tied to periodic releases, maintenance windows, or recurring system failures—without effective mitigation over time.</t>
        </is>
      </c>
    </row>
    <row r="129" ht="6" customHeight="1"/>
    <row r="130" ht="30" customHeight="1">
      <c r="A130" s="11" t="inlineStr">
        <is>
          <t>🔍 Root Cause:</t>
        </is>
      </c>
    </row>
    <row r="131" ht="30" customHeight="1">
      <c r="A131" s="10" t="inlineStr">
        <is>
          <t>**People &amp; Process**: Inadequate escalation protocols and insufficient cross-team coordination are primary contributors. The 29.4h MTTR implies tier-1 support is either overwhelmed or lacks authority, causing delays in routing incidents to specialized teams. The health score of 33/100 further reflects poor adherence to ITIL or similar frameworks, with likely gaps in incident categorization and prioritization.</t>
        </is>
      </c>
    </row>
    <row r="132" ht="30" customHeight="1">
      <c r="A132" s="10" t="inlineStr">
        <is>
          <t>**Technology &amp; Management**: Absence of automated incident routing and real-time monitoring tools exacerbates delays. The availability of WoW/MoM comparisons yet persistent high MTTR indicates management has not implemented corrective actions based on temporal trend data—such as failing to allocate additional resources during known peak periods revealed by weekly/monthly analyses.</t>
        </is>
      </c>
    </row>
    <row r="133" ht="6" customHeight="1"/>
    <row r="134" ht="30" customHeight="1">
      <c r="A134" s="11" t="inlineStr">
        <is>
          <t>💡 Recommendations:</t>
        </is>
      </c>
    </row>
    <row r="135" ht="30" customHeight="1">
      <c r="A135" s="10" t="inlineStr">
        <is>
          <t>Implement automated incident classification and routing to reduce manual handoff delays.</t>
        </is>
      </c>
    </row>
    <row r="136" ht="30" customHeight="1">
      <c r="A136" s="10" t="inlineStr">
        <is>
          <t>Establish a dedicated rapid-response team for high-frequency incident patterns identified in WoW/MoM trends.</t>
        </is>
      </c>
    </row>
    <row r="137" ht="6" customHeight="1"/>
    <row r="138" ht="30" customHeight="1">
      <c r="A138" s="11" t="inlineStr">
        <is>
          <t>📈 Expected Impact:</t>
        </is>
      </c>
    </row>
    <row r="139" ht="30" customHeight="1">
      <c r="A139" s="10" t="inlineStr">
        <is>
          <t>Reduce average MTTR by 40% (to approximately 17.6 hours) within the next quarter, while improving health score by 25 points.</t>
        </is>
      </c>
    </row>
    <row r="140" ht="10" customHeight="1"/>
    <row r="141" ht="10" customHeight="1"/>
    <row r="142">
      <c r="A142" s="12" t="inlineStr">
        <is>
          <t>Generated by Customer Cross-Overview Report • 2026-01-31 09:36</t>
        </is>
      </c>
    </row>
  </sheetData>
  <mergeCells count="23">
    <mergeCell ref="A5:J5"/>
    <mergeCell ref="A135:J135"/>
    <mergeCell ref="A131:J131"/>
    <mergeCell ref="A126:J126"/>
    <mergeCell ref="A4:J4"/>
    <mergeCell ref="A125:J125"/>
    <mergeCell ref="A134:J134"/>
    <mergeCell ref="A127:J127"/>
    <mergeCell ref="A130:J130"/>
    <mergeCell ref="A34:J34"/>
    <mergeCell ref="A24:J24"/>
    <mergeCell ref="A142:J142"/>
    <mergeCell ref="A138:J138"/>
    <mergeCell ref="A1:J1"/>
    <mergeCell ref="A132:J132"/>
    <mergeCell ref="A124:J124"/>
    <mergeCell ref="A69:J69"/>
    <mergeCell ref="A128:J128"/>
    <mergeCell ref="A41:J41"/>
    <mergeCell ref="A136:J136"/>
    <mergeCell ref="A139:J139"/>
    <mergeCell ref="A2:J2"/>
    <mergeCell ref="A42:J42"/>
  </mergeCells>
  <conditionalFormatting sqref="B98:H121">
    <cfRule type="colorScale" priority="1">
      <colorScale>
        <cfvo type="min"/>
        <cfvo type="percentile" val="50"/>
        <cfvo type="max"/>
        <color rgb="00F7FCF5"/>
        <color rgb="00FEB24C"/>
        <color rgb="00E31A1C"/>
      </colorScale>
    </cfRule>
  </conditionalFormatting>
  <pageMargins left="0.75" right="0.75" top="1" bottom="1" header="0.5" footer="0.5"/>
  <pageSetup orientation="landscape" fitToHeight="0" fitToWidth="1"/>
  <drawing xmlns:r="http://schemas.openxmlformats.org/officeDocument/2006/relationships" r:id="rId1"/>
</worksheet>
</file>

<file path=xl/worksheets/sheet11.xml><?xml version="1.0" encoding="utf-8"?>
<worksheet xmlns="http://schemas.openxmlformats.org/spreadsheetml/2006/main">
  <sheetPr>
    <tabColor rgb="0014b8a6"/>
    <outlinePr summaryBelow="1" summaryRight="1"/>
    <pageSetUpPr fitToPage="1"/>
  </sheetPr>
  <dimension ref="A1:J97"/>
  <sheetViews>
    <sheetView workbookViewId="0">
      <selection activeCell="A1" sqref="A1"/>
    </sheetView>
  </sheetViews>
  <sheetFormatPr baseColWidth="8" defaultRowHeight="15"/>
  <cols>
    <col width="10" customWidth="1" min="1" max="1"/>
    <col width="12" customWidth="1" min="2" max="2"/>
    <col width="48" customWidth="1" min="3" max="3"/>
    <col width="50" customWidth="1" min="4" max="4"/>
    <col width="12" customWidth="1" min="5" max="5"/>
  </cols>
  <sheetData>
    <row r="1" ht="36" customHeight="1">
      <c r="A1" s="1" t="inlineStr">
        <is>
          <t>Action Plan</t>
        </is>
      </c>
    </row>
    <row r="2" ht="22" customHeight="1">
      <c r="A2" s="2" t="inlineStr">
        <is>
          <t>2024-04-19 — 2025-07-06</t>
        </is>
      </c>
    </row>
    <row r="3" ht="10" customHeight="1"/>
    <row r="4" ht="26" customHeight="1">
      <c r="A4" s="3" t="inlineStr">
        <is>
          <t>Data Tables</t>
        </is>
      </c>
    </row>
    <row r="5" ht="26" customHeight="1">
      <c r="A5" s="3" t="inlineStr">
        <is>
          <t>Action Items</t>
        </is>
      </c>
    </row>
    <row r="6" ht="20" customHeight="1">
      <c r="A6" s="4" t="inlineStr">
        <is>
          <t>#</t>
        </is>
      </c>
      <c r="B6" s="4" t="inlineStr">
        <is>
          <t>Priority</t>
        </is>
      </c>
      <c r="C6" s="4" t="inlineStr">
        <is>
          <t>Action</t>
        </is>
      </c>
      <c r="D6" s="4" t="inlineStr">
        <is>
          <t>Process</t>
        </is>
      </c>
      <c r="E6" s="4" t="inlineStr">
        <is>
          <t>Expected Effect</t>
        </is>
      </c>
    </row>
    <row r="7" ht="18" customHeight="1">
      <c r="A7" s="13" t="n">
        <v>1</v>
      </c>
      <c r="B7" s="5" t="inlineStr">
        <is>
          <t>URGENT</t>
        </is>
      </c>
      <c r="C7" s="5" t="inlineStr">
        <is>
          <t>Review and optimize incident SLA compliance processes</t>
        </is>
      </c>
      <c r="D7" s="5" t="inlineStr">
        <is>
          <t>incident</t>
        </is>
      </c>
      <c r="E7" s="5" t="inlineStr">
        <is>
          <t>Improve SLA rate by 10-15%</t>
        </is>
      </c>
    </row>
    <row r="8" ht="18" customHeight="1">
      <c r="A8" s="14" t="n">
        <v>2</v>
      </c>
      <c r="B8" s="6" t="inlineStr">
        <is>
          <t>URGENT</t>
        </is>
      </c>
      <c r="C8" s="6" t="inlineStr">
        <is>
          <t>Implement post-change validation and monitoring</t>
        </is>
      </c>
      <c r="D8" s="6" t="inlineStr">
        <is>
          <t>change</t>
        </is>
      </c>
      <c r="E8" s="6" t="inlineStr">
        <is>
          <t>Reduce change-induced incidents by 50%</t>
        </is>
      </c>
    </row>
    <row r="9" ht="18" customHeight="1">
      <c r="A9" s="13" t="n">
        <v>3</v>
      </c>
      <c r="B9" s="5" t="inlineStr">
        <is>
          <t>HIGH</t>
        </is>
      </c>
      <c r="C9" s="5" t="inlineStr">
        <is>
          <t>Strengthen change assessment and testing procedures</t>
        </is>
      </c>
      <c r="D9" s="5" t="inlineStr">
        <is>
          <t>change</t>
        </is>
      </c>
      <c r="E9" s="5" t="inlineStr">
        <is>
          <t>Improve change success rate to 95%+</t>
        </is>
      </c>
    </row>
    <row r="10" ht="18" customHeight="1">
      <c r="A10" s="14" t="n">
        <v>4</v>
      </c>
      <c r="B10" s="6" t="inlineStr">
        <is>
          <t>MEDIUM</t>
        </is>
      </c>
      <c r="C10" s="6" t="inlineStr">
        <is>
          <t>Analyze and streamline incident resolution workflow</t>
        </is>
      </c>
      <c r="D10" s="6" t="inlineStr">
        <is>
          <t>incident</t>
        </is>
      </c>
      <c r="E10" s="6" t="inlineStr">
        <is>
          <t>Reduce average MTTR by 20-30%</t>
        </is>
      </c>
    </row>
    <row r="11" ht="18" customHeight="1">
      <c r="A11" s="13" t="n">
        <v>5</v>
      </c>
      <c r="B11" s="5" t="inlineStr">
        <is>
          <t>MEDIUM</t>
        </is>
      </c>
      <c r="C11" s="5" t="inlineStr">
        <is>
          <t>Analyze customer feedback and improve service delivery</t>
        </is>
      </c>
      <c r="D11" s="5" t="inlineStr">
        <is>
          <t>request</t>
        </is>
      </c>
      <c r="E11" s="5" t="inlineStr">
        <is>
          <t>Improve CSAT to 4.0+</t>
        </is>
      </c>
    </row>
    <row r="12" ht="10" customHeight="1"/>
    <row r="13" ht="26" customHeight="1">
      <c r="A13" s="3" t="inlineStr">
        <is>
          <t>Risk Summary</t>
        </is>
      </c>
    </row>
    <row r="14" ht="20" customHeight="1">
      <c r="A14" s="4" t="inlineStr">
        <is>
          <t>ID</t>
        </is>
      </c>
      <c r="B14" s="4" t="inlineStr">
        <is>
          <t>Priority</t>
        </is>
      </c>
      <c r="C14" s="4" t="inlineStr">
        <is>
          <t>Message</t>
        </is>
      </c>
      <c r="D14" s="4" t="inlineStr">
        <is>
          <t>Impact</t>
        </is>
      </c>
      <c r="E14" s="4" t="inlineStr">
        <is>
          <t>Process</t>
        </is>
      </c>
    </row>
    <row r="15" ht="18" customHeight="1">
      <c r="A15" s="5" t="inlineStr">
        <is>
          <t>R001</t>
        </is>
      </c>
      <c r="B15" s="5" t="inlineStr">
        <is>
          <t>Critical</t>
        </is>
      </c>
      <c r="C15" s="5" t="inlineStr">
        <is>
          <t>Incident SLA compliance at 64.2%</t>
        </is>
      </c>
      <c r="D15" s="5" t="inlineStr">
        <is>
          <t>Customer SLO commitments at risk</t>
        </is>
      </c>
      <c r="E15" s="5" t="inlineStr">
        <is>
          <t>incident</t>
        </is>
      </c>
    </row>
    <row r="16" ht="18" customHeight="1">
      <c r="A16" s="6" t="inlineStr">
        <is>
          <t>R005</t>
        </is>
      </c>
      <c r="B16" s="6" t="inlineStr">
        <is>
          <t>Critical</t>
        </is>
      </c>
      <c r="C16" s="6" t="inlineStr">
        <is>
          <t>9 changes caused incidents (18.0%)</t>
        </is>
      </c>
      <c r="D16" s="6" t="inlineStr">
        <is>
          <t>Changes are causing service incidents</t>
        </is>
      </c>
      <c r="E16" s="6" t="inlineStr">
        <is>
          <t>change</t>
        </is>
      </c>
    </row>
    <row r="17" ht="18" customHeight="1">
      <c r="A17" s="5" t="inlineStr">
        <is>
          <t>R002</t>
        </is>
      </c>
      <c r="B17" s="5" t="inlineStr">
        <is>
          <t>Warning</t>
        </is>
      </c>
      <c r="C17" s="5" t="inlineStr">
        <is>
          <t>Category 'Compliance' MTTR is 67.8h</t>
        </is>
      </c>
      <c r="D17" s="5" t="inlineStr">
        <is>
          <t>Extended resolution times affecting service levels</t>
        </is>
      </c>
      <c r="E17" s="5" t="inlineStr">
        <is>
          <t>incident</t>
        </is>
      </c>
    </row>
    <row r="18" ht="18" customHeight="1">
      <c r="A18" s="6" t="inlineStr">
        <is>
          <t>R002</t>
        </is>
      </c>
      <c r="B18" s="6" t="inlineStr">
        <is>
          <t>Warning</t>
        </is>
      </c>
      <c r="C18" s="6" t="inlineStr">
        <is>
          <t>Category 'Customer Complaint' MTTR is 341.8h</t>
        </is>
      </c>
      <c r="D18" s="6" t="inlineStr">
        <is>
          <t>Extended resolution times affecting service levels</t>
        </is>
      </c>
      <c r="E18" s="6" t="inlineStr">
        <is>
          <t>incident</t>
        </is>
      </c>
    </row>
    <row r="19" ht="18" customHeight="1">
      <c r="A19" s="5" t="inlineStr">
        <is>
          <t>R002</t>
        </is>
      </c>
      <c r="B19" s="5" t="inlineStr">
        <is>
          <t>Warning</t>
        </is>
      </c>
      <c r="C19" s="5" t="inlineStr">
        <is>
          <t>Category 'Infra' MTTR is 70.3h</t>
        </is>
      </c>
      <c r="D19" s="5" t="inlineStr">
        <is>
          <t>Extended resolution times affecting service levels</t>
        </is>
      </c>
      <c r="E19" s="5" t="inlineStr">
        <is>
          <t>incident</t>
        </is>
      </c>
    </row>
    <row r="20" ht="18" customHeight="1">
      <c r="A20" s="6" t="inlineStr">
        <is>
          <t>R003</t>
        </is>
      </c>
      <c r="B20" s="6" t="inlineStr">
        <is>
          <t>Warning</t>
        </is>
      </c>
      <c r="C20" s="6" t="inlineStr">
        <is>
          <t>Change success rate at 84.0%</t>
        </is>
      </c>
      <c r="D20" s="6" t="inlineStr">
        <is>
          <t>Failed changes may cause service disruptions</t>
        </is>
      </c>
      <c r="E20" s="6" t="inlineStr">
        <is>
          <t>change</t>
        </is>
      </c>
    </row>
    <row r="21" ht="18" customHeight="1">
      <c r="A21" s="5" t="inlineStr">
        <is>
          <t>R006</t>
        </is>
      </c>
      <c r="B21" s="5" t="inlineStr">
        <is>
          <t>Warning</t>
        </is>
      </c>
      <c r="C21" s="5" t="inlineStr">
        <is>
          <t>Request SLA compliance at 75.8%</t>
        </is>
      </c>
      <c r="D21" s="5" t="inlineStr">
        <is>
          <t>Service request fulfillment delays</t>
        </is>
      </c>
      <c r="E21" s="5" t="inlineStr">
        <is>
          <t>request</t>
        </is>
      </c>
    </row>
    <row r="22" ht="18" customHeight="1">
      <c r="A22" s="6" t="inlineStr">
        <is>
          <t>R008</t>
        </is>
      </c>
      <c r="B22" s="6" t="inlineStr">
        <is>
          <t>Warning</t>
        </is>
      </c>
      <c r="C22" s="6" t="inlineStr">
        <is>
          <t>Problem resolution rate at 48.0%</t>
        </is>
      </c>
      <c r="D22" s="6" t="inlineStr">
        <is>
          <t>Unresolved problems may cause recurring incidents</t>
        </is>
      </c>
      <c r="E22" s="6" t="inlineStr">
        <is>
          <t>problem</t>
        </is>
      </c>
    </row>
    <row r="23" ht="10" customHeight="1"/>
    <row r="24" ht="26" customHeight="1">
      <c r="A24" s="3" t="inlineStr">
        <is>
          <t>Visual Analysis</t>
        </is>
      </c>
    </row>
    <row r="25" ht="16" customHeight="1">
      <c r="A25" s="8" t="inlineStr">
        <is>
          <t>Action items by priority level</t>
        </is>
      </c>
    </row>
    <row r="52" ht="16" customHeight="1">
      <c r="A52" s="8" t="inlineStr">
        <is>
          <t>Action items by source process</t>
        </is>
      </c>
    </row>
    <row r="79" ht="10" customHeight="1"/>
    <row r="80" ht="26" customHeight="1">
      <c r="A80" s="9" t="inlineStr">
        <is>
          <t>🤖 AI Insight</t>
        </is>
      </c>
    </row>
    <row r="81" ht="30" customHeight="1">
      <c r="A81" s="11" t="inlineStr">
        <is>
          <t>📌 Finding:</t>
        </is>
      </c>
    </row>
    <row r="82" ht="30" customHeight="1">
      <c r="A82" s="10" t="inlineStr">
        <is>
          <t>The IT operations health score of 33/100 indicates a critical 'At Risk' status, driven primarily by two urgent systemic failures. First, **Incident SLA compliance is critically low at 64.2%**, directly impacting service reliability and contractual obligations. Second, **the change failure rate is unacceptably high, with 18.0% of changes (9 incidents) causing service disruptions**, revealing a broken change management process. Compounding these are severe delays in resolving high-impact incidents, as evidenced by a **Customer Complaint MTTR of 341.8 hours** and a **Compliance-related MTTR of 67.8 hours**, which pose significant business and regulatory risks.</t>
        </is>
      </c>
    </row>
    <row r="83" ht="6" customHeight="1"/>
    <row r="84" ht="30" customHeight="1">
      <c r="A84" s="11" t="inlineStr">
        <is>
          <t>🔍 Root Cause:</t>
        </is>
      </c>
    </row>
    <row r="85" ht="30" customHeight="1">
      <c r="A85" s="10" t="inlineStr">
        <is>
          <t>A multi-dimensional analysis reveals foundational gaps in process governance and technology enablement.</t>
        </is>
      </c>
    </row>
    <row r="86" ht="30" customHeight="1">
      <c r="A86" s="10" t="inlineStr">
        <is>
          <t>**People/Process:** The low SLA compliance (64.2%) and high MTTRs point to inadequate incident management workflows, likely lacking clear escalation paths and role-based accountability. The 18.0% change failure rate stems from weak assessment and testing procedures, indicating a cultural or procedural tolerance for risk in the change lifecycle.</t>
        </is>
      </c>
    </row>
    <row r="87" ht="30" customHeight="1">
      <c r="A87" s="10" t="inlineStr">
        <is>
          <t>**Technology/Management:** The absence of post-change validation monitoring is a critical technology gap, allowing faulty changes to propagate. Management oversight is failing, as evidenced by the systemic nature of these issues across incidents, changes, and customer complaints, suggesting metrics are not driving corrective actions.</t>
        </is>
      </c>
    </row>
    <row r="88" ht="6" customHeight="1"/>
    <row r="89" ht="30" customHeight="1">
      <c r="A89" s="11" t="inlineStr">
        <is>
          <t>💡 Recommendations:</t>
        </is>
      </c>
    </row>
    <row r="90" ht="30" customHeight="1">
      <c r="A90" s="10" t="inlineStr">
        <is>
          <t>1. Immediately implement a mandatory post-change validation checklist and automated monitoring for all high-risk changes.</t>
        </is>
      </c>
    </row>
    <row r="91" ht="30" customHeight="1">
      <c r="A91" s="10" t="inlineStr">
        <is>
          <t>2. Launch a focused incident management review to redefine SLA workflows, escalation matrices, and accountability for the 'Customer Complaint' and 'Compliance' categories.</t>
        </is>
      </c>
    </row>
    <row r="92" ht="6" customHeight="1"/>
    <row r="93" ht="30" customHeight="1">
      <c r="A93" s="11" t="inlineStr">
        <is>
          <t>📈 Expected Impact:</t>
        </is>
      </c>
    </row>
    <row r="94" ht="30" customHeight="1">
      <c r="A94" s="10" t="inlineStr">
        <is>
          <t>Executing this plan is projected to increase the Health Score by 30+ points, primarily by raising Incident SLA compliance to &gt;90% and reducing the change failure rate by 50%.</t>
        </is>
      </c>
    </row>
    <row r="95" ht="10" customHeight="1"/>
    <row r="96" ht="10" customHeight="1"/>
    <row r="97">
      <c r="A97" s="12" t="inlineStr">
        <is>
          <t>Generated by Customer Cross-Overview Report • 2026-01-31 09:36</t>
        </is>
      </c>
    </row>
  </sheetData>
  <mergeCells count="21">
    <mergeCell ref="A85:J85"/>
    <mergeCell ref="A5:J5"/>
    <mergeCell ref="A97:J97"/>
    <mergeCell ref="A91:J91"/>
    <mergeCell ref="A4:J4"/>
    <mergeCell ref="A81:J81"/>
    <mergeCell ref="A52:J52"/>
    <mergeCell ref="A13:J13"/>
    <mergeCell ref="A93:J93"/>
    <mergeCell ref="A24:J24"/>
    <mergeCell ref="A82:J82"/>
    <mergeCell ref="A1:J1"/>
    <mergeCell ref="A94:J94"/>
    <mergeCell ref="A87:J87"/>
    <mergeCell ref="A25:J25"/>
    <mergeCell ref="A90:J90"/>
    <mergeCell ref="A80:J80"/>
    <mergeCell ref="A84:J84"/>
    <mergeCell ref="A89:J89"/>
    <mergeCell ref="A2:J2"/>
    <mergeCell ref="A86:J86"/>
  </mergeCells>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2026-01-31T01:36:24Z</dcterms:created>
  <dcterms:modified xmlns:dcterms="http://purl.org/dc/terms/" xmlns:xsi="http://www.w3.org/2001/XMLSchema-instance" xsi:type="dcterms:W3CDTF">2026-01-31T01:36:26Z</dcterms:modified>
</cp:coreProperties>
</file>