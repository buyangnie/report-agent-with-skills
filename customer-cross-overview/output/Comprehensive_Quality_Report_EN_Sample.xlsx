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8.xml" ContentType="application/vnd.openxmlformats-officedocument.drawing+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9.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0.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wnloads\"/>
    </mc:Choice>
  </mc:AlternateContent>
  <xr:revisionPtr revIDLastSave="0" documentId="13_ncr:1_{28E4B3D4-BFCB-4D33-B81C-60BCA4CF778C}" xr6:coauthVersionLast="36" xr6:coauthVersionMax="36" xr10:uidLastSave="{00000000-0000-0000-0000-000000000000}"/>
  <bookViews>
    <workbookView xWindow="0" yWindow="0" windowWidth="25200" windowHeight="10950" tabRatio="886" firstSheet="3" activeTab="3" xr2:uid="{00000000-000D-0000-FFFF-FFFF00000000}"/>
  </bookViews>
  <sheets>
    <sheet name="Executive Summary" sheetId="1" r:id="rId1"/>
    <sheet name="_ChartData" sheetId="2" state="hidden" r:id="rId2"/>
    <sheet name="Incident Analysis" sheetId="3" r:id="rId3"/>
    <sheet name="Incident SLA" sheetId="4" r:id="rId4"/>
    <sheet name="Change Analysis" sheetId="5" r:id="rId5"/>
    <sheet name="Request Analysis" sheetId="6" r:id="rId6"/>
    <sheet name="Problem Analysis" sheetId="7" r:id="rId7"/>
    <sheet name="Cross-Process" sheetId="8" r:id="rId8"/>
    <sheet name="Personnel &amp; Efficiency" sheetId="9" r:id="rId9"/>
    <sheet name="Time Analysis" sheetId="10" r:id="rId10"/>
    <sheet name="Action Plan" sheetId="11" r:id="rId11"/>
  </sheets>
  <calcPr calcId="0"/>
</workbook>
</file>

<file path=xl/sharedStrings.xml><?xml version="1.0" encoding="utf-8"?>
<sst xmlns="http://schemas.openxmlformats.org/spreadsheetml/2006/main" count="1670" uniqueCount="809">
  <si>
    <t>Executive Summary</t>
  </si>
  <si>
    <t>2024-04-19 — 2025-07-06</t>
  </si>
  <si>
    <t>KPI Summary</t>
  </si>
  <si>
    <t>KPI</t>
  </si>
  <si>
    <t>Value</t>
  </si>
  <si>
    <t>Status</t>
  </si>
  <si>
    <t>Health Score</t>
  </si>
  <si>
    <t>33</t>
  </si>
  <si>
    <t>At Risk</t>
  </si>
  <si>
    <t>Incident SLA Rate</t>
  </si>
  <si>
    <t>64.2%</t>
  </si>
  <si>
    <t>MTTR</t>
  </si>
  <si>
    <t>29.4h</t>
  </si>
  <si>
    <t>Change Success Rate</t>
  </si>
  <si>
    <t>84.0%</t>
  </si>
  <si>
    <t>Fair</t>
  </si>
  <si>
    <t>Emergency Change Rate</t>
  </si>
  <si>
    <t>0.0%</t>
  </si>
  <si>
    <t>Request Fulfillment</t>
  </si>
  <si>
    <t>CSAT</t>
  </si>
  <si>
    <t>3.61</t>
  </si>
  <si>
    <t>Problem Closure Rate</t>
  </si>
  <si>
    <t>48.0%</t>
  </si>
  <si>
    <t>Contents</t>
  </si>
  <si>
    <t>Incident Analysis</t>
  </si>
  <si>
    <t>Incident SLA</t>
  </si>
  <si>
    <t>Change Analysis</t>
  </si>
  <si>
    <t>Request Analysis</t>
  </si>
  <si>
    <t>Problem Analysis</t>
  </si>
  <si>
    <t>Cross-Process</t>
  </si>
  <si>
    <t>Personnel &amp; Efficiency</t>
  </si>
  <si>
    <t>Time Analysis</t>
  </si>
  <si>
    <t>Action Plan</t>
  </si>
  <si>
    <t>Visual Analysis</t>
  </si>
  <si>
    <t>Overall health score gauge</t>
  </si>
  <si>
    <t>Process health radar across four ITIL processes</t>
  </si>
  <si>
    <t>Top Risks</t>
  </si>
  <si>
    <t>Priority</t>
  </si>
  <si>
    <t>Risk</t>
  </si>
  <si>
    <t>Impact</t>
  </si>
  <si>
    <t>Process</t>
  </si>
  <si>
    <t>Critical</t>
  </si>
  <si>
    <t>Incident SLA compliance at 64.2%</t>
  </si>
  <si>
    <t>Customer SLO commitments at risk</t>
  </si>
  <si>
    <t>incident</t>
  </si>
  <si>
    <t>9 changes caused incidents (18.0%)</t>
  </si>
  <si>
    <t>Changes are causing service incidents</t>
  </si>
  <si>
    <t>change</t>
  </si>
  <si>
    <t>Warning</t>
  </si>
  <si>
    <t>Category 'Compliance' MTTR is 67.8h</t>
  </si>
  <si>
    <t>Extended resolution times affecting service levels</t>
  </si>
  <si>
    <t>Category 'Customer Complaint' MTTR is 341.8h</t>
  </si>
  <si>
    <t>Category 'Infra' MTTR is 70.3h</t>
  </si>
  <si>
    <t>🤖 AI Insight</t>
  </si>
  <si>
    <t>Based on the service health data, the overall assessment is that the service is critically unstable, with an extremely high incident volume severely degrading operational health. The most critical improvement recommendation is to implement an immediate incident triage and root cause analysis (RCA) program targeting the top 5 recurring incident patterns to reduce the total incident count by at least 50% within the next quarter.</t>
  </si>
  <si>
    <t>📌 **Finding:** The service health score of 33/100 is critically low, driven by an exceptionally high volume of 8,977 incidents, which is orders of magnitude greater than the volume of changes (50), requests (50), and problems (50).</t>
  </si>
  <si>
    <t>🔍 **Root Cause:** The data indicates a fundamental breakdown in proactive stability management. The extreme disparity between incidents (8,977) and formally tracked problems (50) suggests that less than 0.6% of incidents trigger a root cause analysis. This reactive "fire-fighting" mode overwhelms the system, preventing effective problem management and continuous improvement.</t>
  </si>
  <si>
    <t>💡 **Recommendations:**</t>
  </si>
  <si>
    <t>1.  **Implement Automated Incident Triage &amp; Major Incident Declaration:** Establish clear criteria and automation to classify incidents by severity and impact. Ensure all high-severity incidents automatically initiate a formal Problem Management process.</t>
  </si>
  <si>
    <t>2.  **Launch a "Top 5" Reduction Initiative:** Dedicate a cross-functional team to perform deep-dive RCAs on the 5 identified top risks and the most frequent incident types, implementing permanent fixes within 90 days.</t>
  </si>
  <si>
    <t>3.  **Enhance Change Risk Assessment:** Review the 100% success rate of the 50 changes. Implement pre- and post-implementation reviews to ensure changes are not a primary, but unmeasured, contributor to the incident volume.</t>
  </si>
  <si>
    <t>📈 **Expected Impact:** Implementing these measures should reduce the total incident volume by 50-60% (to approximately 3,500-4,500) within the next quarter, directly lifting the Health Score by 25-30 points into a more stable "Needs Improvement" range (58-63/100).</t>
  </si>
  <si>
    <t>Generated by Customer Cross-Overview Report • 2026-01-30 23:00</t>
  </si>
  <si>
    <t>Segment</t>
  </si>
  <si>
    <t>Score</t>
  </si>
  <si>
    <t>Remaining</t>
  </si>
  <si>
    <t>Incidents (SLA)</t>
  </si>
  <si>
    <t>Changes (Success)</t>
  </si>
  <si>
    <t>Requests (Fulfill)</t>
  </si>
  <si>
    <t>Problems (Close)</t>
  </si>
  <si>
    <t>Month</t>
  </si>
  <si>
    <t>Count</t>
  </si>
  <si>
    <t>Completion %</t>
  </si>
  <si>
    <t>2024-04</t>
  </si>
  <si>
    <t>2024-05</t>
  </si>
  <si>
    <t>2024-06</t>
  </si>
  <si>
    <t>2024-07</t>
  </si>
  <si>
    <t>2024-08</t>
  </si>
  <si>
    <t>2024-09</t>
  </si>
  <si>
    <t>2024-10</t>
  </si>
  <si>
    <t>2024-11</t>
  </si>
  <si>
    <t>2024-12</t>
  </si>
  <si>
    <t>2025-01</t>
  </si>
  <si>
    <t>2025-02</t>
  </si>
  <si>
    <t>2025-03</t>
  </si>
  <si>
    <t>2025-04</t>
  </si>
  <si>
    <t>2025-05</t>
  </si>
  <si>
    <t>2025-06</t>
  </si>
  <si>
    <t>2025-07</t>
  </si>
  <si>
    <t>P4</t>
  </si>
  <si>
    <t>P1</t>
  </si>
  <si>
    <t>P3</t>
  </si>
  <si>
    <t>P2</t>
  </si>
  <si>
    <t>Category</t>
  </si>
  <si>
    <t>Digital View Monitoring</t>
  </si>
  <si>
    <t>International Money Transfer</t>
  </si>
  <si>
    <t>Card</t>
  </si>
  <si>
    <t>Onboarding</t>
  </si>
  <si>
    <t>Other</t>
  </si>
  <si>
    <t>Cash In</t>
  </si>
  <si>
    <t>Outward Fund transfer</t>
  </si>
  <si>
    <t>Cardless Cash Out</t>
  </si>
  <si>
    <t>Account Management</t>
  </si>
  <si>
    <t>Compliance</t>
  </si>
  <si>
    <t>Met</t>
  </si>
  <si>
    <t>Gap</t>
  </si>
  <si>
    <t>SLA %</t>
  </si>
  <si>
    <t>Target</t>
  </si>
  <si>
    <t>Type</t>
  </si>
  <si>
    <t>Type0</t>
  </si>
  <si>
    <t>Type1</t>
  </si>
  <si>
    <t>Type2</t>
  </si>
  <si>
    <t>Success %</t>
  </si>
  <si>
    <t>Threshold</t>
  </si>
  <si>
    <t>Total</t>
  </si>
  <si>
    <t>Failed</t>
  </si>
  <si>
    <t>Infrastructure</t>
  </si>
  <si>
    <t>Application</t>
  </si>
  <si>
    <t>Database</t>
  </si>
  <si>
    <t>Network</t>
  </si>
  <si>
    <t>Security</t>
  </si>
  <si>
    <t>Type3</t>
  </si>
  <si>
    <t>Rating</t>
  </si>
  <si>
    <t>5</t>
  </si>
  <si>
    <t>4</t>
  </si>
  <si>
    <t>3</t>
  </si>
  <si>
    <t>2</t>
  </si>
  <si>
    <t>1</t>
  </si>
  <si>
    <t>Volume</t>
  </si>
  <si>
    <t>Avg CSAT</t>
  </si>
  <si>
    <t>Request Type</t>
  </si>
  <si>
    <t>Min</t>
  </si>
  <si>
    <t>Avg</t>
  </si>
  <si>
    <t>Max</t>
  </si>
  <si>
    <t>Access</t>
  </si>
  <si>
    <t>Information</t>
  </si>
  <si>
    <t>Provisioning</t>
  </si>
  <si>
    <t>Standard Change</t>
  </si>
  <si>
    <t>Known Error</t>
  </si>
  <si>
    <t>Resolved</t>
  </si>
  <si>
    <t>Closed</t>
  </si>
  <si>
    <t>Under Investigation</t>
  </si>
  <si>
    <t>New</t>
  </si>
  <si>
    <t>Root Cause</t>
  </si>
  <si>
    <t>RC0</t>
  </si>
  <si>
    <t>RC1</t>
  </si>
  <si>
    <t>RC2</t>
  </si>
  <si>
    <t>RC3</t>
  </si>
  <si>
    <t>RC4</t>
  </si>
  <si>
    <t>Cumulative</t>
  </si>
  <si>
    <t>Flow</t>
  </si>
  <si>
    <t>Changes→Incidents</t>
  </si>
  <si>
    <t>Person</t>
  </si>
  <si>
    <t>Jessica Smith</t>
  </si>
  <si>
    <t>Richard Smith</t>
  </si>
  <si>
    <t>Joseph Smith</t>
  </si>
  <si>
    <t>Thomas Smith</t>
  </si>
  <si>
    <t>Michael Smith</t>
  </si>
  <si>
    <t>James Smith</t>
  </si>
  <si>
    <t>Christopher Smith</t>
  </si>
  <si>
    <t>Elizabeth Smith</t>
  </si>
  <si>
    <t>Charles Smith</t>
  </si>
  <si>
    <t>Nancy Smith</t>
  </si>
  <si>
    <t>Sarah Smith</t>
  </si>
  <si>
    <t>Karen Smith</t>
  </si>
  <si>
    <t>William Smith</t>
  </si>
  <si>
    <t>Patricia Smith</t>
  </si>
  <si>
    <t>Daniel Smith</t>
  </si>
  <si>
    <t>Incidents</t>
  </si>
  <si>
    <t>Changes</t>
  </si>
  <si>
    <t>Requests</t>
  </si>
  <si>
    <t>Problems</t>
  </si>
  <si>
    <t>Day</t>
  </si>
  <si>
    <t>Monday</t>
  </si>
  <si>
    <t>Tuesday</t>
  </si>
  <si>
    <t>Wednesday</t>
  </si>
  <si>
    <t>Thursday</t>
  </si>
  <si>
    <t>Friday</t>
  </si>
  <si>
    <t>Saturday</t>
  </si>
  <si>
    <t>Sunday</t>
  </si>
  <si>
    <t>URGENT</t>
  </si>
  <si>
    <t>HIGH</t>
  </si>
  <si>
    <t>MEDIUM</t>
  </si>
  <si>
    <t>request</t>
  </si>
  <si>
    <t>Data Tables</t>
  </si>
  <si>
    <t>Priority Breakdown</t>
  </si>
  <si>
    <t>%</t>
  </si>
  <si>
    <t>Cum%</t>
  </si>
  <si>
    <t>Avg Resolve</t>
  </si>
  <si>
    <t>Median</t>
  </si>
  <si>
    <t>Resp SLA</t>
  </si>
  <si>
    <t>Res SLA</t>
  </si>
  <si>
    <t>Violations</t>
  </si>
  <si>
    <t>45.0%</t>
  </si>
  <si>
    <t>29.1h</t>
  </si>
  <si>
    <t>25.1h</t>
  </si>
  <si>
    <t>0.0min</t>
  </si>
  <si>
    <t>377.7d</t>
  </si>
  <si>
    <t>99.7%</t>
  </si>
  <si>
    <t>5.0%</t>
  </si>
  <si>
    <t>50.0%</t>
  </si>
  <si>
    <t>47.2h</t>
  </si>
  <si>
    <t>25.6h</t>
  </si>
  <si>
    <t>394.1d</t>
  </si>
  <si>
    <t>6.9%</t>
  </si>
  <si>
    <t>35.0%</t>
  </si>
  <si>
    <t>85.0%</t>
  </si>
  <si>
    <t>24.9h</t>
  </si>
  <si>
    <t>44.8d</t>
  </si>
  <si>
    <t>47.6%</t>
  </si>
  <si>
    <t>15.0%</t>
  </si>
  <si>
    <t>100.0%</t>
  </si>
  <si>
    <t>34.0h</t>
  </si>
  <si>
    <t>25.5h</t>
  </si>
  <si>
    <t>398.8d</t>
  </si>
  <si>
    <t>15.5%</t>
  </si>
  <si>
    <t>Category Breakdown</t>
  </si>
  <si>
    <t>Std Dev</t>
  </si>
  <si>
    <t>43.8%</t>
  </si>
  <si>
    <t>25.4h</t>
  </si>
  <si>
    <t>26.5h</t>
  </si>
  <si>
    <t>17.0h</t>
  </si>
  <si>
    <t>9.0%</t>
  </si>
  <si>
    <t>52.9%</t>
  </si>
  <si>
    <t>24.1h</t>
  </si>
  <si>
    <t>22.3h</t>
  </si>
  <si>
    <t>41.9h</t>
  </si>
  <si>
    <t>8.8%</t>
  </si>
  <si>
    <t>61.7%</t>
  </si>
  <si>
    <t>27.4h</t>
  </si>
  <si>
    <t>25.2h</t>
  </si>
  <si>
    <t>41.7h</t>
  </si>
  <si>
    <t>7.9%</t>
  </si>
  <si>
    <t>69.5%</t>
  </si>
  <si>
    <t>21.4h</t>
  </si>
  <si>
    <t>20.1h</t>
  </si>
  <si>
    <t>37.8h</t>
  </si>
  <si>
    <t>7.3%</t>
  </si>
  <si>
    <t>76.8%</t>
  </si>
  <si>
    <t>44.8h</t>
  </si>
  <si>
    <t>33.8h</t>
  </si>
  <si>
    <t>14.7d</t>
  </si>
  <si>
    <t>4.6%</t>
  </si>
  <si>
    <t>81.4%</t>
  </si>
  <si>
    <t>22.5h</t>
  </si>
  <si>
    <t>18.3h</t>
  </si>
  <si>
    <t>3.3d</t>
  </si>
  <si>
    <t>3.6%</t>
  </si>
  <si>
    <t>22.2h</t>
  </si>
  <si>
    <t>14.3h</t>
  </si>
  <si>
    <t>3.5%</t>
  </si>
  <si>
    <t>88.4%</t>
  </si>
  <si>
    <t>19.2h</t>
  </si>
  <si>
    <t>20.9h</t>
  </si>
  <si>
    <t>12.4h</t>
  </si>
  <si>
    <t>3.0%</t>
  </si>
  <si>
    <t>91.4%</t>
  </si>
  <si>
    <t>28.8h</t>
  </si>
  <si>
    <t>25.8h</t>
  </si>
  <si>
    <t>30.3h</t>
  </si>
  <si>
    <t>2.5%</t>
  </si>
  <si>
    <t>93.9%</t>
  </si>
  <si>
    <t>2.8d</t>
  </si>
  <si>
    <t>23.9h</t>
  </si>
  <si>
    <t>23.7d</t>
  </si>
  <si>
    <t>Infra</t>
  </si>
  <si>
    <t>2.4%</t>
  </si>
  <si>
    <t>96.2%</t>
  </si>
  <si>
    <t>2.9d</t>
  </si>
  <si>
    <t>26.2h</t>
  </si>
  <si>
    <t>27.1d</t>
  </si>
  <si>
    <t>P2P Transfer</t>
  </si>
  <si>
    <t>0.9%</t>
  </si>
  <si>
    <t>97.2%</t>
  </si>
  <si>
    <t>19.6h</t>
  </si>
  <si>
    <t>Bill Payment</t>
  </si>
  <si>
    <t>0.8%</t>
  </si>
  <si>
    <t>98.0%</t>
  </si>
  <si>
    <t>22.9h</t>
  </si>
  <si>
    <t>23.3h</t>
  </si>
  <si>
    <t>14.4h</t>
  </si>
  <si>
    <t>Cash Out</t>
  </si>
  <si>
    <t>0.7%</t>
  </si>
  <si>
    <t>98.7%</t>
  </si>
  <si>
    <t>35.0h</t>
  </si>
  <si>
    <t>2.6d</t>
  </si>
  <si>
    <t>Internal Requests</t>
  </si>
  <si>
    <t>0.6%</t>
  </si>
  <si>
    <t>99.3%</t>
  </si>
  <si>
    <t>20.5h</t>
  </si>
  <si>
    <t>23.8h</t>
  </si>
  <si>
    <t>15.2h</t>
  </si>
  <si>
    <t>Customer Complaint</t>
  </si>
  <si>
    <t>0.3%</t>
  </si>
  <si>
    <t>99.6%</t>
  </si>
  <si>
    <t>14.2d</t>
  </si>
  <si>
    <t>44.7h</t>
  </si>
  <si>
    <t>70.5d</t>
  </si>
  <si>
    <t>Promotions</t>
  </si>
  <si>
    <t>99.9%</t>
  </si>
  <si>
    <t>16.9h</t>
  </si>
  <si>
    <t>18.8h</t>
  </si>
  <si>
    <t>Fraud</t>
  </si>
  <si>
    <t>0.1%</t>
  </si>
  <si>
    <t>20.0h</t>
  </si>
  <si>
    <t>23.7h</t>
  </si>
  <si>
    <t>19.1h</t>
  </si>
  <si>
    <t>Airtime Top-Up</t>
  </si>
  <si>
    <t>26.4h</t>
  </si>
  <si>
    <t>30.2h</t>
  </si>
  <si>
    <t>15.6h</t>
  </si>
  <si>
    <t>Monthly incident volume with completion rate trend</t>
  </si>
  <si>
    <t>Incident distribution by priority level</t>
  </si>
  <si>
    <t>Top 10 incident categories by volume</t>
  </si>
  <si>
    <t>📌 Finding: The SLA compliance rate of 64.2% is significantly below typical industry targets of 95%+, and the average Mean Time to Resolution (MTTR) of 29.4 hours indicates prolonged service disruptions. Furthermore, 20.0% (1794 of 8977) of all incidents are classified as high-severity (P1/P2), representing a substantial operational burden.</t>
  </si>
  <si>
    <t>🔍 Root Cause: Analysis indicates the low SLA rate and high MTTR are primarily driven by the volume of P1/P2 incidents. With 1794 high-severity tickets, standard support workflows are overwhelmed, forcing triage delays and diverting resources from lower-severity issues, which subsequently breach SLA. The data suggests a reactive firefighting mode rather than proactive problem management, as evidenced by only 5 Major Incidents being formally declared despite the high P1/P2 count, indicating potential inconsistency in classification and response protocols.</t>
  </si>
  <si>
    <t>💡 Recommendations:</t>
  </si>
  <si>
    <t>1.  **Implement Automated Triage and Escalation:** Deploy an AIOps tool to auto-classify incoming tickets based on keywords and impact, ensuring consistent P1/P2 identification and immediate routing to dedicated senior engineering squads to reduce initial response latency.</t>
  </si>
  <si>
    <t>2.  **Establish a Proactive Problem Management Process:** Mandate a root cause analysis (RCA) review for all repeated P1/P2 incidents. Formally declare a Major Incident for any outage affecting &gt;15% of users or critical revenue streams, triggering an executive war room and post-mortem process to prevent recurrence.</t>
  </si>
  <si>
    <t>3.  **Create a Tier-0 Self-Service &amp; Knowledge Base:** Develop and promote a curated knowledge base for common low-severity issues (e.g., password resets, known errors), aiming to deflect at least 30% of Tier-1 support volume and free resources for high-severity incident resolution.</t>
  </si>
  <si>
    <t>📈 Expected Impact: Implementing these measures is projected to increase the SLA compliance rate from 64.2% to 82-85% within two quarters by reducing MTTR for P1/P2 incidents by an estimated 35% (to ~19.1 hours) and deflecting a significant portion of low-severity tickets. This would also improve operational focus, reducing the effective P1/P2 burden on engineering teams by approximately 25%.</t>
  </si>
  <si>
    <t>SLA Summary</t>
  </si>
  <si>
    <t>SLA Rate</t>
  </si>
  <si>
    <t>Compliant</t>
  </si>
  <si>
    <t>Target (h)</t>
  </si>
  <si>
    <t>SLA Violations (Top 20)</t>
  </si>
  <si>
    <t>Order#</t>
  </si>
  <si>
    <t>Overtime</t>
  </si>
  <si>
    <t>Resolver</t>
  </si>
  <si>
    <t>Reason</t>
  </si>
  <si>
    <t>80000002</t>
  </si>
  <si>
    <t>Resolution</t>
  </si>
  <si>
    <t>38.5h</t>
  </si>
  <si>
    <t>Completed</t>
  </si>
  <si>
    <t>Resolution exceeded by 38.5h</t>
  </si>
  <si>
    <t>80000004</t>
  </si>
  <si>
    <t>23.2h</t>
  </si>
  <si>
    <t>Barbara Smith</t>
  </si>
  <si>
    <t>Resolution exceeded by 23.2h</t>
  </si>
  <si>
    <t>80000013</t>
  </si>
  <si>
    <t>20.3h</t>
  </si>
  <si>
    <t>Resolution exceeded by 20.3h</t>
  </si>
  <si>
    <t>80000016</t>
  </si>
  <si>
    <t>3.0h</t>
  </si>
  <si>
    <t>Resolution exceeded by 3.0h</t>
  </si>
  <si>
    <t>80000018</t>
  </si>
  <si>
    <t>22.0h</t>
  </si>
  <si>
    <t>Lisa Smith</t>
  </si>
  <si>
    <t>Resolution exceeded by 22.0h</t>
  </si>
  <si>
    <t>80000020</t>
  </si>
  <si>
    <t>6.0h</t>
  </si>
  <si>
    <t>Linda Smith</t>
  </si>
  <si>
    <t>Resolution exceeded by 6.0h</t>
  </si>
  <si>
    <t>80000023</t>
  </si>
  <si>
    <t>13.2h</t>
  </si>
  <si>
    <t>Resolution exceeded by 13.2h</t>
  </si>
  <si>
    <t>80000024</t>
  </si>
  <si>
    <t>10.4h</t>
  </si>
  <si>
    <t>Resolution exceeded by 10.4h</t>
  </si>
  <si>
    <t>80000026</t>
  </si>
  <si>
    <t>17.8h</t>
  </si>
  <si>
    <t>Resolution exceeded by 17.8h</t>
  </si>
  <si>
    <t>80000027</t>
  </si>
  <si>
    <t>80000028</t>
  </si>
  <si>
    <t>Resolution exceeded by 23.9h</t>
  </si>
  <si>
    <t>80000029</t>
  </si>
  <si>
    <t>21.9h</t>
  </si>
  <si>
    <t>Resolution exceeded by 21.9h</t>
  </si>
  <si>
    <t>80000032</t>
  </si>
  <si>
    <t>5.5h</t>
  </si>
  <si>
    <t>Resolution exceeded by 5.5h</t>
  </si>
  <si>
    <t>80000035</t>
  </si>
  <si>
    <t>80000036</t>
  </si>
  <si>
    <t>23.6h</t>
  </si>
  <si>
    <t>Resolution exceeded by 23.6h</t>
  </si>
  <si>
    <t>80000037</t>
  </si>
  <si>
    <t>Resolution exceeded by 22.5h</t>
  </si>
  <si>
    <t>80000039</t>
  </si>
  <si>
    <t>Jennifer Smith</t>
  </si>
  <si>
    <t>Resolution exceeded by 19.1h</t>
  </si>
  <si>
    <t>80000041</t>
  </si>
  <si>
    <t>17.5h</t>
  </si>
  <si>
    <t>David Smith</t>
  </si>
  <si>
    <t>Resolution exceeded by 17.5h</t>
  </si>
  <si>
    <t>80000042</t>
  </si>
  <si>
    <t>24.7h</t>
  </si>
  <si>
    <t>Resolution exceeded by 24.7h</t>
  </si>
  <si>
    <t>80000045</t>
  </si>
  <si>
    <t>20.6h</t>
  </si>
  <si>
    <t>Resolution exceeded by 20.6h</t>
  </si>
  <si>
    <t>Violation Root Causes</t>
  </si>
  <si>
    <t>Cause</t>
  </si>
  <si>
    <t>Typical Case</t>
  </si>
  <si>
    <t>Improvement</t>
  </si>
  <si>
    <t>Resolution Time Exceeded</t>
  </si>
  <si>
    <t>Optimize assignment and escalation processes</t>
  </si>
  <si>
    <t>Overall SLA compliance gauge</t>
  </si>
  <si>
    <t>Monthly SLA compliance rate vs target</t>
  </si>
  <si>
    <t>SLA violations breakdown by priority</t>
  </si>
  <si>
    <t>SLA Violation Heatmap</t>
  </si>
  <si>
    <t>Unknown</t>
  </si>
  <si>
    <t>📌 Finding: Critical SLA compliance gaps exist, with P1 and P2 incidents missing targets by 4.9% and 84.5% respectively, driving an overall Health Score of only 33/100. While P4 compliance is excellent at 99.7%, P3 compliance is also suboptimal at 47.6%.</t>
  </si>
  <si>
    <t>🔍 Root Cause: The data indicates a severe resource allocation and prioritization issue. The breach pattern shows an inverse relationship between incident urgency and compliance rate. The near-total failure on P1 (93.1% breach rate) and P2 (84.5% breach rate) incidents suggests either insufficient dedicated high-priority response capacity, ineffective triage processes routing too many incidents as P1/P2, or a systemic bottleneck in the initial response and investigation stages that prevents timely engagement.</t>
  </si>
  <si>
    <t>1.  Implement a dedicated, cross-functional Critical Incident Response Team (CIRT) with defined on-call rotations, specifically mandated for all P1 and P2 incidents to ensure immediate engagement and ownership.</t>
  </si>
  <si>
    <t>2.  Revise and automate the initial triage protocol with a dynamic questionnaire to reduce false-high priority classification and ensure resource alignment with genuine business impact.</t>
  </si>
  <si>
    <t>3.  Introduce a mandatory root cause analysis (RCA) and remediation tracking process for all breached P1 and P2 incidents, with leadership review to address systemic technical or procedural flaws.</t>
  </si>
  <si>
    <t>📈 Expected Impact: Implementing these measures is projected to elevate the overall Health Score from 33 to a target of 65+ within the next quarter. Specifically, P1 compliance should improve from 6.9% to 40-50%, and P2 compliance from 15.5% to 60-70%, while maintaining P4 excellence and improving P3 compliance.</t>
  </si>
  <si>
    <t>Change Type Breakdown</t>
  </si>
  <si>
    <t>Success Rate</t>
  </si>
  <si>
    <t>Incident Rate</t>
  </si>
  <si>
    <t>Avg Duration(h)</t>
  </si>
  <si>
    <t>Normal</t>
  </si>
  <si>
    <t>60.0%</t>
  </si>
  <si>
    <t>83.3%</t>
  </si>
  <si>
    <t>16.7%</t>
  </si>
  <si>
    <t>4.5</t>
  </si>
  <si>
    <t>Standard</t>
  </si>
  <si>
    <t>30.0%</t>
  </si>
  <si>
    <t>86.7%</t>
  </si>
  <si>
    <t>26.7%</t>
  </si>
  <si>
    <t>4.6</t>
  </si>
  <si>
    <t>Emergency</t>
  </si>
  <si>
    <t>10.0%</t>
  </si>
  <si>
    <t>80.0%</t>
  </si>
  <si>
    <t>2.8</t>
  </si>
  <si>
    <t>Change Category Breakdown</t>
  </si>
  <si>
    <t>Failures</t>
  </si>
  <si>
    <t>93.8%</t>
  </si>
  <si>
    <t>High</t>
  </si>
  <si>
    <t>90.9%</t>
  </si>
  <si>
    <t>77.8%</t>
  </si>
  <si>
    <t>42.9%</t>
  </si>
  <si>
    <t>Change distribution by type</t>
  </si>
  <si>
    <t>Monthly change success rate trend</t>
  </si>
  <si>
    <t>Change volume and failures by category</t>
  </si>
  <si>
    <t>📌 Finding: Change success rate is 84.0% (42 successful changes out of 50), with an 18.0% change-induced incident rate (9 incidents caused by changes). This indicates that while most changes are successful, nearly one in five changes leads to an operational incident, suggesting quality or risk assessment gaps.</t>
  </si>
  <si>
    <t>🔍 Root Cause: The 18.0% incident rate, coupled with 5 outright failures, points to inadequate pre-implementation validation and risk assessment. Specifically, 9 incidents from 50 changes imply that changes are often pushed without sufficient testing in staging environments or comprehensive rollback plans, leading to post-deployment disruptions even when the change itself is not classified as a total failure.</t>
  </si>
  <si>
    <t>1. Implement mandatory peer review and risk assessment for all changes, requiring sign-off from both development and operations teams before deployment.</t>
  </si>
  <si>
    <t>2. Introduce automated testing in a staging environment that mirrors production for all high-risk changes, with success criteria defined before implementation.</t>
  </si>
  <si>
    <t>3. Develop and enforce standardized rollback procedures for every change to minimize incident duration and impact when issues arise.</t>
  </si>
  <si>
    <t>📈 Expected Impact: Implementing these measures is expected to reduce the change-induced incident rate from 18.0% to below 10.0% within the next quarter, while increasing the overall change success rate from 84.0% to over 92.0%. This would translate to approximately 4 fewer incidents per 50 changes and 2-3 fewer failed changes.</t>
  </si>
  <si>
    <t>Request Type Breakdown</t>
  </si>
  <si>
    <t>Completion Rate</t>
  </si>
  <si>
    <t>Avg Fulfill(h)</t>
  </si>
  <si>
    <t>40.0%</t>
  </si>
  <si>
    <t>65.0%</t>
  </si>
  <si>
    <t>24.6</t>
  </si>
  <si>
    <t>3.77</t>
  </si>
  <si>
    <t>28.0%</t>
  </si>
  <si>
    <t>64.3%</t>
  </si>
  <si>
    <t>45.9</t>
  </si>
  <si>
    <t>3.56</t>
  </si>
  <si>
    <t>14.0%</t>
  </si>
  <si>
    <t>57.1%</t>
  </si>
  <si>
    <t>41.2</t>
  </si>
  <si>
    <t>3.00</t>
  </si>
  <si>
    <t>18.0%</t>
  </si>
  <si>
    <t>39.3</t>
  </si>
  <si>
    <t>3.71</t>
  </si>
  <si>
    <t>CSAT Distribution</t>
  </si>
  <si>
    <t>Label</t>
  </si>
  <si>
    <t>Very Satisfied</t>
  </si>
  <si>
    <t>30.3%</t>
  </si>
  <si>
    <t>Satisfied</t>
  </si>
  <si>
    <t>27.3%</t>
  </si>
  <si>
    <t>57.6%</t>
  </si>
  <si>
    <t>Neutral</t>
  </si>
  <si>
    <t>21.2%</t>
  </si>
  <si>
    <t>78.8%</t>
  </si>
  <si>
    <t>Dissatisfied</t>
  </si>
  <si>
    <t>15.2%</t>
  </si>
  <si>
    <t>Very Dissatisfied</t>
  </si>
  <si>
    <t>6.1%</t>
  </si>
  <si>
    <t>Request distribution by type</t>
  </si>
  <si>
    <t>Customer satisfaction score distribution</t>
  </si>
  <si>
    <t>Monthly request volume and average CSAT</t>
  </si>
  <si>
    <t>Fulfillment time statistics by request type</t>
  </si>
  <si>
    <t>Request Type × Department Heatmap</t>
  </si>
  <si>
    <t>Billing</t>
  </si>
  <si>
    <t>Customer Service</t>
  </si>
  <si>
    <t>Finance</t>
  </si>
  <si>
    <t>HR</t>
  </si>
  <si>
    <t>Marketing</t>
  </si>
  <si>
    <t>Network Operations</t>
  </si>
  <si>
    <t>Operations</t>
  </si>
  <si>
    <t>Product Management</t>
  </si>
  <si>
    <t>Sales</t>
  </si>
  <si>
    <t>Technical Support</t>
  </si>
  <si>
    <t>📌 Finding: Customer satisfaction (CSAT) is suboptimal at 3.61/5 (72.2% of the maximum score), and service request fulfillment is below target with an SLA attainment rate of 75.8%.</t>
  </si>
  <si>
    <t>🔍 Root Cause: The data indicates a direct correlation between SLA performance and CSAT. With nearly one in four requests (24.2%) missing their SLA, delayed resolution is a primary driver of customer dissatisfaction. The moderate CSAT score suggests that even requests meeting SLA may not consistently deliver a high-quality experience, pointing to potential issues in communication, solution accuracy, or first-contact resolution.</t>
  </si>
  <si>
    <t>1.  Implement a daily review of aging tickets approaching SLA breach, assigning priority handling to reduce the backlog of overdue requests.</t>
  </si>
  <si>
    <t>2.  Introduce mandatory post-resolution customer follow-up for all requests that missed SLA to close communication gaps and directly address dissatisfaction.</t>
  </si>
  <si>
    <t>3.  Enhance agent training focused on first-contact resolution techniques and clear, proactive communication for all request types.</t>
  </si>
  <si>
    <t>📈 Expected Impact: Implementing these measures is projected to increase the Request SLA Rate to 85-90% and elevate the CSAT score to 4.0/5 (80%) within the next quarter, representing a 10.5% improvement in satisfaction.</t>
  </si>
  <si>
    <t>Problem Status</t>
  </si>
  <si>
    <t>Avg Age(days)</t>
  </si>
  <si>
    <t>Suggestion</t>
  </si>
  <si>
    <t>412</t>
  </si>
  <si>
    <t>Prioritize permanent fix implementation</t>
  </si>
  <si>
    <t>32.0%</t>
  </si>
  <si>
    <t>408</t>
  </si>
  <si>
    <t>Verify fix effectiveness</t>
  </si>
  <si>
    <t>16.0%</t>
  </si>
  <si>
    <t>410</t>
  </si>
  <si>
    <t>Archive and update knowledge base</t>
  </si>
  <si>
    <t>20.0%</t>
  </si>
  <si>
    <t>405</t>
  </si>
  <si>
    <t>Review and update status</t>
  </si>
  <si>
    <t>4.0%</t>
  </si>
  <si>
    <t>411</t>
  </si>
  <si>
    <t>Root Cause Categories</t>
  </si>
  <si>
    <t>Related Incidents</t>
  </si>
  <si>
    <t>Fix Rate</t>
  </si>
  <si>
    <t>Typical Problem</t>
  </si>
  <si>
    <t>Technical Defect</t>
  </si>
  <si>
    <t>53.3%</t>
  </si>
  <si>
    <t>SMS notification delivery delays</t>
  </si>
  <si>
    <t>Process Gap</t>
  </si>
  <si>
    <t>37.5%</t>
  </si>
  <si>
    <t>Web portal CSS rendering issues on mobile</t>
  </si>
  <si>
    <t>Vendor Issue</t>
  </si>
  <si>
    <t>22.0%</t>
  </si>
  <si>
    <t>Payment gateway timeout for credit card transactions</t>
  </si>
  <si>
    <t>Human Error</t>
  </si>
  <si>
    <t>26.0%</t>
  </si>
  <si>
    <t>23.1%</t>
  </si>
  <si>
    <t>Notification service message queue overflow</t>
  </si>
  <si>
    <t>6.0%</t>
  </si>
  <si>
    <t>Intermittent billing calculation discrepancy</t>
  </si>
  <si>
    <t>Problem status funnel distribution</t>
  </si>
  <si>
    <t>Root cause category distribution</t>
  </si>
  <si>
    <t>Monthly problem volume with cumulative trend</t>
  </si>
  <si>
    <t>📌 Finding: Problem closure rate is 48.0% (24 of 50 problems closed), significantly below the industry benchmark of 80-90%. While the RCA completion rate is strong at 96.0%, this high rate is not translating into effective problem resolution and closure.</t>
  </si>
  <si>
    <t>🔍 Root Cause: The data indicates a critical gap between root cause analysis and final resolution. With 5 problems remaining open and a low overall closure rate, the primary issue is a lack of structured follow-through after RCA. Specifically, the process for implementing corrective actions, validating their effectiveness, and formally closing the problem ticket is either inefficient or non-existent. The high RCA rate suggests analysis is being performed, but actions are stalling in the implementation or verification phases.</t>
  </si>
  <si>
    <t>1.  Implement a formal Corrective Action Plan (CAP) tracker for every problem post-RCA, with assigned owners, clear deadlines, and mandatory progress updates at weekly operations reviews.</t>
  </si>
  <si>
    <t>2.  Introduce a "Closure Gate" checklist requiring documented evidence of action implementation, verification of effectiveness (e.g., 7-day incident-free period), and stakeholder sign-off before a problem ticket can be closed.</t>
  </si>
  <si>
    <t>3.  Assign dedicated Problem Resolution Owners for high-impact or aged open problems to drive accountability and cross-functional coordination for implementing solutions.</t>
  </si>
  <si>
    <t>📈 Expected Impact: Implementing these measures is projected to increase the problem closure rate from 48.0% to 75.0% within the next quarter. The RCA rate is expected to remain above 95.0%, but with a higher proportion of RCAs leading to verified, closed solutions, thereby reducing recurring incidents and technical debt.</t>
  </si>
  <si>
    <t>Change → Incident Links</t>
  </si>
  <si>
    <t>Source ID</t>
  </si>
  <si>
    <t>Target Count</t>
  </si>
  <si>
    <t>Target IDs</t>
  </si>
  <si>
    <t>CHG20250100008</t>
  </si>
  <si>
    <t>Change</t>
  </si>
  <si>
    <t>INC20250104754</t>
  </si>
  <si>
    <t>Medium</t>
  </si>
  <si>
    <t>CHG20250100012</t>
  </si>
  <si>
    <t>INC20250102030</t>
  </si>
  <si>
    <t>CHG20250100014</t>
  </si>
  <si>
    <t>INC20250119034</t>
  </si>
  <si>
    <t>CHG20250100042</t>
  </si>
  <si>
    <t>INC20250102787</t>
  </si>
  <si>
    <t>CHG20250100043</t>
  </si>
  <si>
    <t>INC20250102757</t>
  </si>
  <si>
    <t>CHG20250100045</t>
  </si>
  <si>
    <t>INC20250110441</t>
  </si>
  <si>
    <t>CHG20250100046</t>
  </si>
  <si>
    <t>INC20250106437</t>
  </si>
  <si>
    <t>CHG20250100047</t>
  </si>
  <si>
    <t>INC20250108502</t>
  </si>
  <si>
    <t>CHG20250100049</t>
  </si>
  <si>
    <t>INC20250118780</t>
  </si>
  <si>
    <t>Cross-process flow: changes causing incidents</t>
  </si>
  <si>
    <t>📌 Finding: The data reveals a critical imbalance, with 8,977 incidents vastly outnumbering changes, requests, and problems (each at 50). This indicates a reactive, incident-driven operational state. Furthermore, the low Health Score of 33/100 correlates with a high incident volume and a low problem identification rate, suggesting systemic issues are not being addressed at the root.</t>
  </si>
  <si>
    <t>🔍 Root Cause: The primary root cause is a lack of proactive problem management and insufficient change control. With only 50 problems documented against 8,977 incidents, the problem-to-incident ratio is approximately 0.6%, far below the ITIL benchmark of 5-10%. This indicates that incidents are being repeatedly restored without identifying underlying causes. The low volume of changes (50) suggests a risk-averse or bottlenecked change process, preventing necessary proactive improvements that could reduce incident volume.</t>
  </si>
  <si>
    <t>1.  **Implement Mandatory Problem-Logging Thresholds:** Establish a rule that any incident recurring three times within a 30-day period must trigger the automatic creation of a Problem record. Assign dedicated Problem Management resources to investigate these high-frequency incidents.</t>
  </si>
  <si>
    <t>2.  **Launch a Proactive Change Initiative:** Analyze the top 10% of incident categories (approximately 900 incidents) and mandate at least one approved change per category aimed at root-cause elimination within the next quarter.</t>
  </si>
  <si>
    <t>3.  **Integrate Cross-Process Metrics into Leadership Reviews:** Implement a dashboard for weekly operations reviews that explicitly shows the correlation between the number of Problems raised, Changes implemented, and the resulting trend in Incident volume.</t>
  </si>
  <si>
    <t>📈 Expected Impact: Implementing these measures should shift operations from reactive to proactive. We expect to see the Problem-to-Incident ratio increase from 0.6% to at least 5.0% within two quarters. This focused problem and change activity should directly reduce preventable incidents, leading to a projected 15-20% decrease in total incident volume (approximately 1,350 - 1,800 fewer incidents) and a corresponding Health Score improvement of 20-25 points, moving it out of the "At Risk" category.</t>
  </si>
  <si>
    <t>Personnel Performance</t>
  </si>
  <si>
    <t>Name</t>
  </si>
  <si>
    <t>Completion</t>
  </si>
  <si>
    <t>Specialty</t>
  </si>
  <si>
    <t>Susan Smith</t>
  </si>
  <si>
    <t>24.2h</t>
  </si>
  <si>
    <t>99.4%</t>
  </si>
  <si>
    <t>65.7%</t>
  </si>
  <si>
    <t>4.3%</t>
  </si>
  <si>
    <t>2.2d</t>
  </si>
  <si>
    <t>99.5%</t>
  </si>
  <si>
    <t>63.5%</t>
  </si>
  <si>
    <t>4.2%</t>
  </si>
  <si>
    <t>99.2%</t>
  </si>
  <si>
    <t>60.9%</t>
  </si>
  <si>
    <t>23.4h</t>
  </si>
  <si>
    <t>68.7%</t>
  </si>
  <si>
    <t>99.0%</t>
  </si>
  <si>
    <t>62.8%</t>
  </si>
  <si>
    <t>28.5h</t>
  </si>
  <si>
    <t>64.4%</t>
  </si>
  <si>
    <t>2.1d</t>
  </si>
  <si>
    <t>63.2%</t>
  </si>
  <si>
    <t>63.6%</t>
  </si>
  <si>
    <t>25.3h</t>
  </si>
  <si>
    <t>28.2h</t>
  </si>
  <si>
    <t>59.5%</t>
  </si>
  <si>
    <t>24.5h</t>
  </si>
  <si>
    <t>63.1%</t>
  </si>
  <si>
    <t>64.1%</t>
  </si>
  <si>
    <t>24.8h</t>
  </si>
  <si>
    <t>98.9%</t>
  </si>
  <si>
    <t>67.4%</t>
  </si>
  <si>
    <t>67.6%</t>
  </si>
  <si>
    <t>4.4%</t>
  </si>
  <si>
    <t>63.9%</t>
  </si>
  <si>
    <t>66.2%</t>
  </si>
  <si>
    <t>99.1%</t>
  </si>
  <si>
    <t>John Smith</t>
  </si>
  <si>
    <t>3.9%</t>
  </si>
  <si>
    <t>Mary Smith</t>
  </si>
  <si>
    <t>2.0d</t>
  </si>
  <si>
    <t>Robert Smith</t>
  </si>
  <si>
    <t>63.0%</t>
  </si>
  <si>
    <t>24.6h</t>
  </si>
  <si>
    <t>62.5%</t>
  </si>
  <si>
    <t>Workload Distribution</t>
  </si>
  <si>
    <t>Level</t>
  </si>
  <si>
    <t>Avg Events</t>
  </si>
  <si>
    <t>Light</t>
  </si>
  <si>
    <t>29.2%</t>
  </si>
  <si>
    <t>350.7</t>
  </si>
  <si>
    <t>Consider additional assignments or cross-training</t>
  </si>
  <si>
    <t>41.7%</t>
  </si>
  <si>
    <t>377.7</t>
  </si>
  <si>
    <t>Maintain current workload level</t>
  </si>
  <si>
    <t>Heavy</t>
  </si>
  <si>
    <t>25.0%</t>
  </si>
  <si>
    <t>388.5</t>
  </si>
  <si>
    <t>Monitor for burnout and consider redistribution</t>
  </si>
  <si>
    <t>Overloaded</t>
  </si>
  <si>
    <t>414.0</t>
  </si>
  <si>
    <t>Immediate workload redistribution needed</t>
  </si>
  <si>
    <t>Skill Coverage</t>
  </si>
  <si>
    <t>Handlers</t>
  </si>
  <si>
    <t>Primary</t>
  </si>
  <si>
    <t>Coverage</t>
  </si>
  <si>
    <t>Low</t>
  </si>
  <si>
    <t>95.8%</t>
  </si>
  <si>
    <t>54.2%</t>
  </si>
  <si>
    <t>66.7%</t>
  </si>
  <si>
    <t>20.8%</t>
  </si>
  <si>
    <t>Personnel workload distribution (top 15)</t>
  </si>
  <si>
    <t>Top 10 personnel by ticket volume</t>
  </si>
  <si>
    <t>Personnel Skill Heatmap</t>
  </si>
  <si>
    <t>📌 Finding: Incident volume is disproportionately high at 8,977, constituting 99% of total workload, while Changes, Requests, and Problems are minimal at 50 each. The team's Health Grade is "At Risk," indicating severe capacity strain and potential burnout from reactive firefighting.</t>
  </si>
  <si>
    <t>🔍 Root Cause: The data reveals a critical staffing and process imbalance. With 99% of effort consumed by incident management, there is insufficient capacity for proactive problem management (50 tickets) and controlled change execution (50 tickets). This suggests a lack of preventive measures, automated remediation, or effective tiered support, forcing the team into a perpetual reactive mode. Skill coverage is likely misaligned, with too few resources skilled in root cause analysis and automation to reduce the incident backlog.</t>
  </si>
  <si>
    <t>1.  **Implement an Incident Triage &amp; Automation Sprint:** Dedicate a cross-functional team for two weeks to analyze the top 20% of recurring incidents (approx. 1,800 tickets) and implement automated scripts or self-service fixes, aiming to deflect 30% of this subset.</t>
  </si>
  <si>
    <t>2.  **Launch a Proactive Problem Management Program:** Mandate that for every major incident (P1/P2), a problem ticket is automatically created. Reallocate 15% of current incident-handling capacity to a dedicated problem squad focused on permanent fixes.</t>
  </si>
  <si>
    <t>3.  **Upskill for SRE &amp; Automation:** Fund targeted training for 25% of the operations staff in scripting (Python/PowerShell) and monitoring tools (e.g., Dynatrace, Splunk) within the next quarter to build internal capability for reducing manual toil.</t>
  </si>
  <si>
    <t>📈 Expected Impact: Implementing these measures is projected to reduce monthly incident volume by 20-25% within two quarters, freeing approximately 1,800-2,250 person-hours annually for proactive work. This shift should directly improve the Health Grade from "At Risk" to "Stable" by rebalancing workload distribution and reducing mean time to resolution (MTTR) by an estimated 15%.</t>
  </si>
  <si>
    <t>Monthly Trends</t>
  </si>
  <si>
    <t>Period</t>
  </si>
  <si>
    <t>High Pri%</t>
  </si>
  <si>
    <t>MoM</t>
  </si>
  <si>
    <t>Assessment</t>
  </si>
  <si>
    <t>46.2%</t>
  </si>
  <si>
    <t>5.9d</t>
  </si>
  <si>
    <t>22.6%</t>
  </si>
  <si>
    <t>N/A</t>
  </si>
  <si>
    <t>60.3%</t>
  </si>
  <si>
    <t>2.4d</t>
  </si>
  <si>
    <t>18.1%</t>
  </si>
  <si>
    <t>+271.8%</t>
  </si>
  <si>
    <t>Increasing</t>
  </si>
  <si>
    <t>62.9%</t>
  </si>
  <si>
    <t>20.6%</t>
  </si>
  <si>
    <t>+27.4%</t>
  </si>
  <si>
    <t>24.3h</t>
  </si>
  <si>
    <t>20.4%</t>
  </si>
  <si>
    <t>+9.0%</t>
  </si>
  <si>
    <t>21.1%</t>
  </si>
  <si>
    <t>-29.3%</t>
  </si>
  <si>
    <t>Improving</t>
  </si>
  <si>
    <t>74.6%</t>
  </si>
  <si>
    <t>16.8h</t>
  </si>
  <si>
    <t>21.7%</t>
  </si>
  <si>
    <t>-12.8%</t>
  </si>
  <si>
    <t>69.4%</t>
  </si>
  <si>
    <t>19.0%</t>
  </si>
  <si>
    <t>-12.7%</t>
  </si>
  <si>
    <t>65.8%</t>
  </si>
  <si>
    <t>17.7%</t>
  </si>
  <si>
    <t>-18.6%</t>
  </si>
  <si>
    <t>21.1h</t>
  </si>
  <si>
    <t>-2.0%</t>
  </si>
  <si>
    <t>Stable</t>
  </si>
  <si>
    <t>65.9%</t>
  </si>
  <si>
    <t>21.3h</t>
  </si>
  <si>
    <t>20.7%</t>
  </si>
  <si>
    <t>+18.3%</t>
  </si>
  <si>
    <t>66.8%</t>
  </si>
  <si>
    <t>16.6%</t>
  </si>
  <si>
    <t>-19.8%</t>
  </si>
  <si>
    <t>66.1%</t>
  </si>
  <si>
    <t>19.4%</t>
  </si>
  <si>
    <t>+46.1%</t>
  </si>
  <si>
    <t>58.5%</t>
  </si>
  <si>
    <t>31.4h</t>
  </si>
  <si>
    <t>19.3%</t>
  </si>
  <si>
    <t>-18.0%</t>
  </si>
  <si>
    <t>59.4%</t>
  </si>
  <si>
    <t>29.9h</t>
  </si>
  <si>
    <t>+32.8%</t>
  </si>
  <si>
    <t>23.5h</t>
  </si>
  <si>
    <t>20.1%</t>
  </si>
  <si>
    <t>-1.7%</t>
  </si>
  <si>
    <t>29.5h</t>
  </si>
  <si>
    <t>27.0%</t>
  </si>
  <si>
    <t>-88.5%</t>
  </si>
  <si>
    <t>Day of Week</t>
  </si>
  <si>
    <t>High Pri</t>
  </si>
  <si>
    <t>16.8%</t>
  </si>
  <si>
    <t>26.1h</t>
  </si>
  <si>
    <t>14.9%</t>
  </si>
  <si>
    <t>29.6h</t>
  </si>
  <si>
    <t>37.7h</t>
  </si>
  <si>
    <t>14.7%</t>
  </si>
  <si>
    <t>14.1%</t>
  </si>
  <si>
    <t>11.6%</t>
  </si>
  <si>
    <t>30.1h</t>
  </si>
  <si>
    <t>11.9%</t>
  </si>
  <si>
    <t>27.2h</t>
  </si>
  <si>
    <t>Hour of Day</t>
  </si>
  <si>
    <t>Hours</t>
  </si>
  <si>
    <t>Early Morning</t>
  </si>
  <si>
    <t>00:00-05:59</t>
  </si>
  <si>
    <t>12.6%</t>
  </si>
  <si>
    <t>27.5h</t>
  </si>
  <si>
    <t>Consider on-call staffing adjustments</t>
  </si>
  <si>
    <t>Morning</t>
  </si>
  <si>
    <t>06:00-11:59</t>
  </si>
  <si>
    <t>28.7%</t>
  </si>
  <si>
    <t>25.7h</t>
  </si>
  <si>
    <t>Ensure full team availability</t>
  </si>
  <si>
    <t>Afternoon</t>
  </si>
  <si>
    <t>12:00-17:59</t>
  </si>
  <si>
    <t>36.1%</t>
  </si>
  <si>
    <t>28.6h</t>
  </si>
  <si>
    <t>Monitor post-lunch productivity</t>
  </si>
  <si>
    <t>Evening</t>
  </si>
  <si>
    <t>18:00-23:59</t>
  </si>
  <si>
    <t>36.3h</t>
  </si>
  <si>
    <t>Evaluate after-hours support needs</t>
  </si>
  <si>
    <t>Four ITIL process volume trends over time</t>
  </si>
  <si>
    <t>Incident volume by day of week</t>
  </si>
  <si>
    <t>Hourly Incident Heatmap</t>
  </si>
  <si>
    <t>Hour</t>
  </si>
  <si>
    <t>0</t>
  </si>
  <si>
    <t>6</t>
  </si>
  <si>
    <t>7</t>
  </si>
  <si>
    <t>8</t>
  </si>
  <si>
    <t>9</t>
  </si>
  <si>
    <t>10</t>
  </si>
  <si>
    <t>11</t>
  </si>
  <si>
    <t>12</t>
  </si>
  <si>
    <t>13</t>
  </si>
  <si>
    <t>14</t>
  </si>
  <si>
    <t>15</t>
  </si>
  <si>
    <t>16</t>
  </si>
  <si>
    <t>17</t>
  </si>
  <si>
    <t>18</t>
  </si>
  <si>
    <t>19</t>
  </si>
  <si>
    <t>20</t>
  </si>
  <si>
    <t>21</t>
  </si>
  <si>
    <t>22</t>
  </si>
  <si>
    <t>23</t>
  </si>
  <si>
    <t>📌 Finding: System health is critically low at 33/100, with an average Mean Time to Resolution (MTTR) of 29.4 hours, indicating severe and prolonged service disruptions. The high volume of 8,977 total incidents suggests this is a systemic, recurring issue rather than isolated events.</t>
  </si>
  <si>
    <t>🔍 Root Cause: The extreme MTTR, nearly 1.25 days, is the primary driver of the poor health score. This prolonged resolution time is likely caused by a combination of insufficient automated monitoring/alerting, leading to delayed detection, and complex, manual remediation processes without clear runbooks or tiered escalation protocols. The high incident volume points to underlying architectural instability or a lack of effective problem management to address root causes.</t>
  </si>
  <si>
    <t>1.  **Implement Tiered Incident Response &amp; Escalation:** Define clear severity levels (e.g., SEV-1, SEV-2) with strict MTTR targets and escalation paths to specialized engineering teams after a defined threshold (e.g., 2 hours). This ensures critical issues receive appropriate priority and resources.</t>
  </si>
  <si>
    <t>2.  **Develop and Automate Standard Runbooks:** For the top 20% most frequent incident types, create detailed, step-by-step resolution playbooks. Automate the initial diagnostic steps and, where possible, remediation actions to drastically reduce manual investigation time.</t>
  </si>
  <si>
    <t>3.  **Establish a Dedicated Problem Management Function:** Form a cross-functional team tasked with analyzing incident trends to identify and permanently resolve underlying system flaws (e.g., fragile dependencies, recurring database locks), thereby reducing the total incident volume.</t>
  </si>
  <si>
    <t>📈 Expected Impact: Implementing these measures should directly attack the core MTTR and volume issues. We expect a **25-35% reduction in Avg MTTR (to approximately 19-22 hours)** within the next quarter by streamlining response. Furthermore, proactive problem management should lead to a **10-15% reduction in recurring incident volume** over the next two quarters, contributing to a projected Health Score improvement of 20-25 points.</t>
  </si>
  <si>
    <t>Action Items</t>
  </si>
  <si>
    <t>#</t>
  </si>
  <si>
    <t>Action</t>
  </si>
  <si>
    <t>Expected Effect</t>
  </si>
  <si>
    <t>Review and optimize incident SLA compliance processes</t>
  </si>
  <si>
    <t>Improve SLA rate by 10-15%</t>
  </si>
  <si>
    <t>Implement post-change validation and monitoring</t>
  </si>
  <si>
    <t>Reduce change-induced incidents by 50%</t>
  </si>
  <si>
    <t>Strengthen change assessment and testing procedures</t>
  </si>
  <si>
    <t>Improve change success rate to 95%+</t>
  </si>
  <si>
    <t>Analyze and streamline incident resolution workflow</t>
  </si>
  <si>
    <t>Reduce average MTTR by 20-30%</t>
  </si>
  <si>
    <t>Analyze customer feedback and improve service delivery</t>
  </si>
  <si>
    <t>Improve CSAT to 4.0+</t>
  </si>
  <si>
    <t>Risk Summary</t>
  </si>
  <si>
    <t>ID</t>
  </si>
  <si>
    <t>Message</t>
  </si>
  <si>
    <t>R001</t>
  </si>
  <si>
    <t>R005</t>
  </si>
  <si>
    <t>R002</t>
  </si>
  <si>
    <t>R003</t>
  </si>
  <si>
    <t>Change success rate at 84.0%</t>
  </si>
  <si>
    <t>Failed changes may cause service disruptions</t>
  </si>
  <si>
    <t>R006</t>
  </si>
  <si>
    <t>Request SLA compliance at 75.8%</t>
  </si>
  <si>
    <t>Service request fulfillment delays</t>
  </si>
  <si>
    <t>R008</t>
  </si>
  <si>
    <t>Problem resolution rate at 48.0%</t>
  </si>
  <si>
    <t>Unresolved problems may cause recurring incidents</t>
  </si>
  <si>
    <t>problem</t>
  </si>
  <si>
    <t>Action items by priority level</t>
  </si>
  <si>
    <t>Action items by source process</t>
  </si>
  <si>
    <t>📌 Finding: The IT operations health score of 33/100 is critically driven by two primary failures: Incident SLA compliance is only 64.2%, and 18.0% of changes (9 total) are directly causing service incidents.</t>
  </si>
  <si>
    <t>🔍 Root Cause: Data indicates a systemic breakdown in both change management and incident response governance. The high rate of change-induced incidents (18.0%) points to inadequate pre-implementation assessment and post-implementation validation. Concurrently, the low SLA compliance and excessively high MTTRs (e.g., 341.8h for Customer Complaints) reveal inefficient resolution workflows and a lack of robust, standardized processes for priority incident handling.</t>
  </si>
  <si>
    <t>1.  **Immediately Implement a Mandatory Post-Change Validation Checklist:** For all changes, require a 48-hour monitoring period with defined success criteria. Assign the change owner responsibility for validation before closing the change ticket.</t>
  </si>
  <si>
    <t>2.  **Establish a Tiered Incident Response Protocol:** Redesign the incident workflow to mandate immediate senior engineer escalation for any incident breaching SLA or categorized as 'Critical'/'Customer Complaint', aiming to reduce the 'Customer Complaint' MTTR by 50% within the next quarter.</t>
  </si>
  <si>
    <t>📈 Expected Impact: Executing these actions is projected to increase the overall Health Score by 20-25 points. Specifically, targeting a reduction in change-induced incidents to below 5% and improving Incident SLA compliance to 85%+ within 90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</si>
</sst>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宋体"/>
      <family val="2"/>
      <scheme val="minor"/>
    </font>
    <font>
      <b/>
      <sz val="18"/>
      <color rgb="FF1E3A5F"/>
      <name val="Calibri"/>
    </font>
    <font>
      <sz val="14"/>
      <color rgb="FF64748B"/>
      <name val="Calibri"/>
    </font>
    <font>
      <b/>
      <sz val="12"/>
      <color rgb="FF1E3A5F"/>
      <name val="Calibri"/>
    </font>
    <font>
      <b/>
      <sz val="10"/>
      <color rgb="FFFFFFFF"/>
      <name val="Calibri"/>
    </font>
    <font>
      <sz val="10"/>
      <color rgb="FF1E293B"/>
      <name val="Calibri"/>
    </font>
    <font>
      <u/>
      <sz val="10"/>
      <color rgb="FF3B82F6"/>
      <name val="宋体"/>
      <charset val="134"/>
    </font>
    <font>
      <i/>
      <sz val="9"/>
      <color rgb="FF64748B"/>
      <name val="Calibri"/>
    </font>
    <font>
      <b/>
      <sz val="11"/>
      <color rgb="FF1E3A5F"/>
      <name val="Calibri"/>
    </font>
    <font>
      <sz val="10"/>
      <color rgb="FF334155"/>
      <name val="Calibri"/>
    </font>
    <font>
      <b/>
      <sz val="10"/>
      <color rgb="FF1E3A5F"/>
      <name val="Calibri"/>
    </font>
    <font>
      <i/>
      <sz val="8"/>
      <color rgb="FF64748B"/>
      <name val="Calibri"/>
    </font>
    <font>
      <sz val="10"/>
      <color rgb="FF1E293B"/>
      <name val="Arial"/>
    </font>
    <font>
      <sz val="9"/>
      <name val="宋体"/>
      <family val="3"/>
      <charset val="134"/>
      <scheme val="minor"/>
    </font>
    <font>
      <b/>
      <sz val="11"/>
      <name val="Calibri"/>
      <family val="2"/>
    </font>
    <font>
      <b/>
      <sz val="12"/>
      <name val="Calibri"/>
      <family val="2"/>
    </font>
    <font>
      <sz val="11"/>
      <color theme="1"/>
      <name val="Calibri"/>
      <family val="2"/>
    </font>
    <font>
      <sz val="11"/>
      <name val="KaiTi"/>
      <family val="3"/>
      <charset val="134"/>
    </font>
    <font>
      <sz val="11"/>
      <color theme="1"/>
      <name val="KaiTi"/>
      <family val="3"/>
      <charset val="134"/>
    </font>
  </fonts>
  <fills count="6">
    <fill>
      <patternFill patternType="none"/>
    </fill>
    <fill>
      <patternFill patternType="gray125"/>
    </fill>
    <fill>
      <patternFill patternType="solid">
        <fgColor rgb="FF1E3A5F"/>
        <bgColor rgb="FF1E3A5F"/>
      </patternFill>
    </fill>
    <fill>
      <patternFill patternType="solid">
        <fgColor rgb="FFF1F5F9"/>
        <bgColor rgb="FFF1F5F9"/>
      </patternFill>
    </fill>
    <fill>
      <patternFill patternType="solid">
        <fgColor rgb="FFFFFFFF"/>
        <bgColor rgb="FFFFFFFF"/>
      </patternFill>
    </fill>
    <fill>
      <patternFill patternType="solid">
        <fgColor rgb="FFF0F9FF"/>
        <bgColor rgb="FFF0F9FF"/>
      </patternFill>
    </fill>
  </fills>
  <borders count="3">
    <border>
      <left/>
      <right/>
      <top/>
      <bottom/>
      <diagonal/>
    </border>
    <border>
      <left/>
      <right/>
      <top/>
      <bottom style="thin">
        <color rgb="FFCBD5E1"/>
      </bottom>
      <diagonal/>
    </border>
    <border>
      <left/>
      <right/>
      <top/>
      <bottom style="thin">
        <color rgb="FFE2E8F0"/>
      </bottom>
      <diagonal/>
    </border>
  </borders>
  <cellStyleXfs count="1">
    <xf numFmtId="0" fontId="0" fillId="0" borderId="0"/>
  </cellStyleXfs>
  <cellXfs count="23">
    <xf numFmtId="0" fontId="0" fillId="0" borderId="0" xfId="0"/>
    <xf numFmtId="0" fontId="4" fillId="2" borderId="1" xfId="0" applyFont="1" applyFill="1" applyBorder="1" applyAlignment="1">
      <alignment horizontal="center" vertical="center"/>
    </xf>
    <xf numFmtId="0" fontId="5" fillId="3" borderId="2" xfId="0" applyFont="1" applyFill="1" applyBorder="1" applyAlignment="1">
      <alignment horizontal="left" vertical="center"/>
    </xf>
    <xf numFmtId="0" fontId="5" fillId="4" borderId="2" xfId="0" applyFont="1" applyFill="1" applyBorder="1" applyAlignment="1">
      <alignment horizontal="left" vertical="center"/>
    </xf>
    <xf numFmtId="0" fontId="6" fillId="0" borderId="0" xfId="0" applyFont="1"/>
    <xf numFmtId="0" fontId="12" fillId="3" borderId="2" xfId="0" applyFont="1" applyFill="1" applyBorder="1" applyAlignment="1">
      <alignment horizontal="right" vertical="center"/>
    </xf>
    <xf numFmtId="0" fontId="12" fillId="4" borderId="2" xfId="0" applyFont="1" applyFill="1" applyBorder="1" applyAlignment="1">
      <alignment horizontal="right" vertical="center"/>
    </xf>
    <xf numFmtId="0" fontId="9" fillId="5" borderId="0" xfId="0" applyFont="1" applyFill="1" applyAlignment="1">
      <alignment horizontal="left" vertical="center" wrapText="1"/>
    </xf>
    <xf numFmtId="0" fontId="0" fillId="0" borderId="0" xfId="0"/>
    <xf numFmtId="0" fontId="1" fillId="0" borderId="0" xfId="0" applyFont="1" applyAlignment="1">
      <alignment horizontal="left" vertical="center"/>
    </xf>
    <xf numFmtId="0" fontId="3" fillId="0" borderId="0" xfId="0" applyFont="1" applyAlignment="1">
      <alignment horizontal="left" vertical="center"/>
    </xf>
    <xf numFmtId="0" fontId="8" fillId="5" borderId="0" xfId="0" applyFont="1" applyFill="1" applyAlignment="1">
      <alignment horizontal="left" vertical="center"/>
    </xf>
    <xf numFmtId="0" fontId="10" fillId="5" borderId="0" xfId="0" applyFont="1" applyFill="1" applyAlignment="1">
      <alignment horizontal="left" vertical="center" wrapText="1"/>
    </xf>
    <xf numFmtId="0" fontId="11" fillId="0" borderId="0" xfId="0" applyFont="1" applyAlignment="1">
      <alignment horizontal="center" vertical="center"/>
    </xf>
    <xf numFmtId="0" fontId="7"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right" vertical="center"/>
    </xf>
    <xf numFmtId="0" fontId="0" fillId="0" borderId="0" xfId="0" applyAlignment="1">
      <alignment horizontal="right"/>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Health Score: 33/100</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zh-CN"/>
        </a:p>
      </c:txPr>
    </c:title>
    <c:autoTitleDeleted val="0"/>
    <c:plotArea>
      <c:layout/>
      <c:doughnutChart>
        <c:varyColors val="1"/>
        <c:ser>
          <c:idx val="0"/>
          <c:order val="0"/>
          <c:tx>
            <c:strRef>
              <c:f>_ChartData!$B$1</c:f>
              <c:strCache>
                <c:ptCount val="1"/>
                <c:pt idx="0">
                  <c:v>Value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98-408F-B182-59C90086EF7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98-408F-B182-59C90086EF73}"/>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zh-CN"/>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_ChartData!$A$2:$A$3</c:f>
              <c:strCache>
                <c:ptCount val="2"/>
                <c:pt idx="0">
                  <c:v>Score</c:v>
                </c:pt>
                <c:pt idx="1">
                  <c:v>Remaining</c:v>
                </c:pt>
              </c:strCache>
            </c:strRef>
          </c:cat>
          <c:val>
            <c:numRef>
              <c:f>_ChartData!$B$2:$B$3</c:f>
              <c:numCache>
                <c:formatCode>General</c:formatCode>
                <c:ptCount val="2"/>
                <c:pt idx="0">
                  <c:v>33</c:v>
                </c:pt>
                <c:pt idx="1">
                  <c:v>67</c:v>
                </c:pt>
              </c:numCache>
            </c:numRef>
          </c:val>
          <c:extLst>
            <c:ext xmlns:c16="http://schemas.microsoft.com/office/drawing/2014/chart" uri="{C3380CC4-5D6E-409C-BE32-E72D297353CC}">
              <c16:uniqueId val="{00000004-8098-408F-B182-59C90086EF7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zh-CN"/>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Process Health Radar</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zh-CN"/>
        </a:p>
      </c:txPr>
    </c:title>
    <c:autoTitleDeleted val="0"/>
    <c:plotArea>
      <c:layout>
        <c:manualLayout>
          <c:layoutTarget val="inner"/>
          <c:xMode val="edge"/>
          <c:yMode val="edge"/>
          <c:x val="0.28235663580246911"/>
          <c:y val="0.13991064814814819"/>
          <c:w val="0.49016327160493828"/>
          <c:h val="0.73524490740740744"/>
        </c:manualLayout>
      </c:layout>
      <c:radarChart>
        <c:radarStyle val="filled"/>
        <c:varyColors val="1"/>
        <c:ser>
          <c:idx val="0"/>
          <c:order val="0"/>
          <c:tx>
            <c:strRef>
              <c:f>_ChartData!$B$5</c:f>
              <c:strCache>
                <c:ptCount val="1"/>
                <c:pt idx="0">
                  <c:v>Score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cat>
            <c:strRef>
              <c:f>_ChartData!$A$6:$A$9</c:f>
              <c:strCache>
                <c:ptCount val="4"/>
                <c:pt idx="0">
                  <c:v>Incidents (SLA)</c:v>
                </c:pt>
                <c:pt idx="1">
                  <c:v>Changes (Success)</c:v>
                </c:pt>
                <c:pt idx="2">
                  <c:v>Requests (Fulfill)</c:v>
                </c:pt>
                <c:pt idx="3">
                  <c:v>Problems (Close)</c:v>
                </c:pt>
              </c:strCache>
            </c:strRef>
          </c:cat>
          <c:val>
            <c:numRef>
              <c:f>_ChartData!$B$6:$B$9</c:f>
              <c:numCache>
                <c:formatCode>General</c:formatCode>
                <c:ptCount val="4"/>
                <c:pt idx="0">
                  <c:v>64.2</c:v>
                </c:pt>
                <c:pt idx="1">
                  <c:v>84</c:v>
                </c:pt>
                <c:pt idx="2">
                  <c:v>0</c:v>
                </c:pt>
                <c:pt idx="3">
                  <c:v>48</c:v>
                </c:pt>
              </c:numCache>
            </c:numRef>
          </c:val>
          <c:extLst>
            <c:ext xmlns:c16="http://schemas.microsoft.com/office/drawing/2014/chart" uri="{C3380CC4-5D6E-409C-BE32-E72D297353CC}">
              <c16:uniqueId val="{00000000-72FD-43F9-97B9-CBF453FB0BAF}"/>
            </c:ext>
          </c:extLst>
        </c:ser>
        <c:dLbls>
          <c:showLegendKey val="0"/>
          <c:showVal val="0"/>
          <c:showCatName val="0"/>
          <c:showSerName val="0"/>
          <c:showPercent val="0"/>
          <c:showBubbleSize val="0"/>
        </c:dLbls>
        <c:axId val="10"/>
        <c:axId val="100"/>
      </c:radarChart>
      <c:catAx>
        <c:axId val="1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0"/>
        <c:crosses val="autoZero"/>
        <c:auto val="1"/>
        <c:lblAlgn val="ctr"/>
        <c:lblOffset val="100"/>
        <c:noMultiLvlLbl val="1"/>
      </c:catAx>
      <c:valAx>
        <c:axId val="100"/>
        <c:scaling>
          <c:orientation val="minMax"/>
          <c:max val="10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Monthly Incident Trend</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zh-CN"/>
        </a:p>
      </c:txPr>
    </c:title>
    <c:autoTitleDeleted val="0"/>
    <c:plotArea>
      <c:layout/>
      <c:barChart>
        <c:barDir val="col"/>
        <c:grouping val="clustered"/>
        <c:varyColors val="1"/>
        <c:ser>
          <c:idx val="0"/>
          <c:order val="0"/>
          <c:tx>
            <c:strRef>
              <c:f>_ChartData!$B$11</c:f>
              <c:strCache>
                <c:ptCount val="1"/>
                <c:pt idx="0">
                  <c:v>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_ChartData!$A$12:$A$27</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_ChartData!$B$12:$B$27</c:f>
              <c:numCache>
                <c:formatCode>General</c:formatCode>
                <c:ptCount val="16"/>
                <c:pt idx="0">
                  <c:v>195</c:v>
                </c:pt>
                <c:pt idx="1">
                  <c:v>725</c:v>
                </c:pt>
                <c:pt idx="2">
                  <c:v>924</c:v>
                </c:pt>
                <c:pt idx="3">
                  <c:v>1007</c:v>
                </c:pt>
                <c:pt idx="4">
                  <c:v>712</c:v>
                </c:pt>
                <c:pt idx="5">
                  <c:v>621</c:v>
                </c:pt>
                <c:pt idx="6">
                  <c:v>542</c:v>
                </c:pt>
                <c:pt idx="7">
                  <c:v>441</c:v>
                </c:pt>
                <c:pt idx="8">
                  <c:v>432</c:v>
                </c:pt>
                <c:pt idx="9">
                  <c:v>511</c:v>
                </c:pt>
                <c:pt idx="10">
                  <c:v>410</c:v>
                </c:pt>
                <c:pt idx="11">
                  <c:v>599</c:v>
                </c:pt>
                <c:pt idx="12">
                  <c:v>491</c:v>
                </c:pt>
                <c:pt idx="13">
                  <c:v>652</c:v>
                </c:pt>
                <c:pt idx="14">
                  <c:v>641</c:v>
                </c:pt>
                <c:pt idx="15">
                  <c:v>74</c:v>
                </c:pt>
              </c:numCache>
            </c:numRef>
          </c:val>
          <c:extLst>
            <c:ext xmlns:c16="http://schemas.microsoft.com/office/drawing/2014/chart" uri="{C3380CC4-5D6E-409C-BE32-E72D297353CC}">
              <c16:uniqueId val="{00000000-BB8B-4F13-B95C-C1888AF3593F}"/>
            </c:ext>
          </c:extLst>
        </c:ser>
        <c:dLbls>
          <c:showLegendKey val="1"/>
          <c:showVal val="1"/>
          <c:showCatName val="0"/>
          <c:showSerName val="1"/>
          <c:showPercent val="0"/>
          <c:showBubbleSize val="1"/>
        </c:dLbls>
        <c:gapWidth val="150"/>
        <c:axId val="10"/>
        <c:axId val="100"/>
      </c:barChart>
      <c:lineChart>
        <c:grouping val="standard"/>
        <c:varyColors val="1"/>
        <c:ser>
          <c:idx val="1"/>
          <c:order val="1"/>
          <c:tx>
            <c:strRef>
              <c:f>_ChartData!$C$11</c:f>
              <c:strCache>
                <c:ptCount val="1"/>
                <c:pt idx="0">
                  <c:v>Completion %</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val>
            <c:numRef>
              <c:f>_ChartData!$C$12:$C$27</c:f>
              <c:numCache>
                <c:formatCode>General</c:formatCode>
                <c:ptCount val="16"/>
                <c:pt idx="0">
                  <c:v>46.2</c:v>
                </c:pt>
                <c:pt idx="1">
                  <c:v>60.3</c:v>
                </c:pt>
                <c:pt idx="2">
                  <c:v>62.9</c:v>
                </c:pt>
                <c:pt idx="3">
                  <c:v>64.3</c:v>
                </c:pt>
                <c:pt idx="4">
                  <c:v>62.8</c:v>
                </c:pt>
                <c:pt idx="5">
                  <c:v>74.599999999999994</c:v>
                </c:pt>
                <c:pt idx="6">
                  <c:v>69.400000000000006</c:v>
                </c:pt>
                <c:pt idx="7">
                  <c:v>65.8</c:v>
                </c:pt>
                <c:pt idx="8">
                  <c:v>66.2</c:v>
                </c:pt>
                <c:pt idx="9">
                  <c:v>65.900000000000006</c:v>
                </c:pt>
                <c:pt idx="10">
                  <c:v>66.8</c:v>
                </c:pt>
                <c:pt idx="11">
                  <c:v>66.099999999999994</c:v>
                </c:pt>
                <c:pt idx="12">
                  <c:v>58.5</c:v>
                </c:pt>
                <c:pt idx="13">
                  <c:v>59.4</c:v>
                </c:pt>
                <c:pt idx="14">
                  <c:v>66.8</c:v>
                </c:pt>
                <c:pt idx="15">
                  <c:v>50</c:v>
                </c:pt>
              </c:numCache>
            </c:numRef>
          </c:val>
          <c:smooth val="1"/>
          <c:extLst>
            <c:ext xmlns:c16="http://schemas.microsoft.com/office/drawing/2014/chart" uri="{C3380CC4-5D6E-409C-BE32-E72D297353CC}">
              <c16:uniqueId val="{00000001-BB8B-4F13-B95C-C1888AF3593F}"/>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
        <c:crosses val="autoZero"/>
        <c:crossBetween val="between"/>
      </c:valAx>
      <c:valAx>
        <c:axId val="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Rate %</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Incidents by Priority</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zh-CN"/>
        </a:p>
      </c:txPr>
    </c:title>
    <c:autoTitleDeleted val="0"/>
    <c:plotArea>
      <c:layout/>
      <c:pieChart>
        <c:varyColors val="1"/>
        <c:ser>
          <c:idx val="0"/>
          <c:order val="0"/>
          <c:tx>
            <c:strRef>
              <c:f>_ChartData!$B$29</c:f>
              <c:strCache>
                <c:ptCount val="1"/>
                <c:pt idx="0">
                  <c:v>Count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36D0-4E9B-9F0B-32ADDB4E452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36D0-4E9B-9F0B-32ADDB4E452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36D0-4E9B-9F0B-32ADDB4E452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36D0-4E9B-9F0B-32ADDB4E4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showLegendKey val="1"/>
            <c:showVal val="0"/>
            <c:showCatName val="1"/>
            <c:showSerName val="1"/>
            <c:showPercent val="1"/>
            <c:showBubbleSize val="1"/>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_ChartData!$A$30:$A$33</c:f>
              <c:strCache>
                <c:ptCount val="4"/>
                <c:pt idx="0">
                  <c:v>P4</c:v>
                </c:pt>
                <c:pt idx="1">
                  <c:v>P1</c:v>
                </c:pt>
                <c:pt idx="2">
                  <c:v>P3</c:v>
                </c:pt>
                <c:pt idx="3">
                  <c:v>P2</c:v>
                </c:pt>
              </c:strCache>
            </c:strRef>
          </c:cat>
          <c:val>
            <c:numRef>
              <c:f>_ChartData!$B$30:$B$33</c:f>
              <c:numCache>
                <c:formatCode>General</c:formatCode>
                <c:ptCount val="4"/>
                <c:pt idx="0">
                  <c:v>4042</c:v>
                </c:pt>
                <c:pt idx="1">
                  <c:v>448</c:v>
                </c:pt>
                <c:pt idx="2">
                  <c:v>3141</c:v>
                </c:pt>
                <c:pt idx="3">
                  <c:v>1346</c:v>
                </c:pt>
              </c:numCache>
            </c:numRef>
          </c:val>
          <c:extLst>
            <c:ext xmlns:c16="http://schemas.microsoft.com/office/drawing/2014/chart" uri="{C3380CC4-5D6E-409C-BE32-E72D297353CC}">
              <c16:uniqueId val="{00000008-36D0-4E9B-9F0B-32ADDB4E4527}"/>
            </c:ext>
          </c:extLst>
        </c:ser>
        <c:dLbls>
          <c:showLegendKey val="1"/>
          <c:showVal val="0"/>
          <c:showCatName val="1"/>
          <c:showSerName val="1"/>
          <c:showPercent val="1"/>
          <c:showBubbleSize val="1"/>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n-lt"/>
                <a:ea typeface="+mj-ea"/>
                <a:cs typeface="+mj-cs"/>
              </a:defRPr>
            </a:pPr>
            <a:r>
              <a:rPr lang="en-US" sz="1400">
                <a:latin typeface="+mn-lt"/>
              </a:rPr>
              <a:t>Top 10 Incident Categories</a:t>
            </a:r>
          </a:p>
        </c:rich>
      </c:tx>
      <c:overlay val="0"/>
      <c:spPr>
        <a:noFill/>
        <a:ln>
          <a:noFill/>
        </a:ln>
        <a:effectLst/>
      </c:spPr>
      <c:txPr>
        <a:bodyPr rot="0" spcFirstLastPara="1" vertOverflow="ellipsis" vert="horz" wrap="square" anchor="ctr" anchorCtr="1"/>
        <a:lstStyle/>
        <a:p>
          <a:pPr>
            <a:defRPr sz="1400" b="1" i="0" u="none" strike="noStrike" kern="1200" cap="none" spc="0" normalizeH="0" baseline="0">
              <a:solidFill>
                <a:schemeClr val="dk1">
                  <a:lumMod val="50000"/>
                  <a:lumOff val="50000"/>
                </a:schemeClr>
              </a:solidFill>
              <a:latin typeface="+mn-lt"/>
              <a:ea typeface="+mj-ea"/>
              <a:cs typeface="+mj-cs"/>
            </a:defRPr>
          </a:pPr>
          <a:endParaRPr lang="zh-CN"/>
        </a:p>
      </c:txPr>
    </c:title>
    <c:autoTitleDeleted val="0"/>
    <c:plotArea>
      <c:layout/>
      <c:barChart>
        <c:barDir val="bar"/>
        <c:grouping val="clustered"/>
        <c:varyColors val="1"/>
        <c:ser>
          <c:idx val="0"/>
          <c:order val="0"/>
          <c:tx>
            <c:strRef>
              <c:f>_ChartData!$B$35</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4706-41F7-9AFF-8997787263F4}"/>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4706-41F7-9AFF-8997787263F4}"/>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4706-41F7-9AFF-8997787263F4}"/>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4706-41F7-9AFF-8997787263F4}"/>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4706-41F7-9AFF-8997787263F4}"/>
              </c:ext>
            </c:extLst>
          </c:dPt>
          <c:dPt>
            <c:idx val="5"/>
            <c:invertIfNegative val="1"/>
            <c:bubble3D val="0"/>
            <c:spPr>
              <a:solidFill>
                <a:schemeClr val="accent6"/>
              </a:solidFill>
              <a:ln>
                <a:noFill/>
              </a:ln>
              <a:effectLst/>
            </c:spPr>
            <c:extLst>
              <c:ext xmlns:c16="http://schemas.microsoft.com/office/drawing/2014/chart" uri="{C3380CC4-5D6E-409C-BE32-E72D297353CC}">
                <c16:uniqueId val="{0000000B-4706-41F7-9AFF-8997787263F4}"/>
              </c:ext>
            </c:extLst>
          </c:dPt>
          <c:dPt>
            <c:idx val="6"/>
            <c:invertIfNegative val="1"/>
            <c:bubble3D val="0"/>
            <c:spPr>
              <a:solidFill>
                <a:schemeClr val="accent1">
                  <a:lumMod val="60000"/>
                </a:schemeClr>
              </a:solidFill>
              <a:ln>
                <a:noFill/>
              </a:ln>
              <a:effectLst/>
            </c:spPr>
            <c:extLst>
              <c:ext xmlns:c16="http://schemas.microsoft.com/office/drawing/2014/chart" uri="{C3380CC4-5D6E-409C-BE32-E72D297353CC}">
                <c16:uniqueId val="{0000000D-4706-41F7-9AFF-8997787263F4}"/>
              </c:ext>
            </c:extLst>
          </c:dPt>
          <c:dPt>
            <c:idx val="7"/>
            <c:invertIfNegative val="1"/>
            <c:bubble3D val="0"/>
            <c:spPr>
              <a:solidFill>
                <a:schemeClr val="accent2">
                  <a:lumMod val="60000"/>
                </a:schemeClr>
              </a:solidFill>
              <a:ln>
                <a:noFill/>
              </a:ln>
              <a:effectLst/>
            </c:spPr>
            <c:extLst>
              <c:ext xmlns:c16="http://schemas.microsoft.com/office/drawing/2014/chart" uri="{C3380CC4-5D6E-409C-BE32-E72D297353CC}">
                <c16:uniqueId val="{0000000F-4706-41F7-9AFF-8997787263F4}"/>
              </c:ext>
            </c:extLst>
          </c:dPt>
          <c:dPt>
            <c:idx val="8"/>
            <c:invertIfNegative val="1"/>
            <c:bubble3D val="0"/>
            <c:spPr>
              <a:solidFill>
                <a:schemeClr val="accent3">
                  <a:lumMod val="60000"/>
                </a:schemeClr>
              </a:solidFill>
              <a:ln>
                <a:noFill/>
              </a:ln>
              <a:effectLst/>
            </c:spPr>
            <c:extLst>
              <c:ext xmlns:c16="http://schemas.microsoft.com/office/drawing/2014/chart" uri="{C3380CC4-5D6E-409C-BE32-E72D297353CC}">
                <c16:uniqueId val="{00000011-4706-41F7-9AFF-8997787263F4}"/>
              </c:ext>
            </c:extLst>
          </c:dPt>
          <c:dPt>
            <c:idx val="9"/>
            <c:invertIfNegative val="1"/>
            <c:bubble3D val="0"/>
            <c:spPr>
              <a:solidFill>
                <a:schemeClr val="accent4">
                  <a:lumMod val="60000"/>
                </a:schemeClr>
              </a:solidFill>
              <a:ln>
                <a:noFill/>
              </a:ln>
              <a:effectLst/>
            </c:spPr>
            <c:extLst>
              <c:ext xmlns:c16="http://schemas.microsoft.com/office/drawing/2014/chart" uri="{C3380CC4-5D6E-409C-BE32-E72D297353CC}">
                <c16:uniqueId val="{00000013-4706-41F7-9AFF-8997787263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zh-CN"/>
              </a:p>
            </c:txPr>
            <c:dLblPos val="in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_ChartData!$A$36:$A$45</c:f>
              <c:strCache>
                <c:ptCount val="10"/>
                <c:pt idx="0">
                  <c:v>Digital View Monitoring</c:v>
                </c:pt>
                <c:pt idx="1">
                  <c:v>International Money Transfer</c:v>
                </c:pt>
                <c:pt idx="2">
                  <c:v>Card</c:v>
                </c:pt>
                <c:pt idx="3">
                  <c:v>Onboarding</c:v>
                </c:pt>
                <c:pt idx="4">
                  <c:v>Other</c:v>
                </c:pt>
                <c:pt idx="5">
                  <c:v>Cash In</c:v>
                </c:pt>
                <c:pt idx="6">
                  <c:v>Outward Fund transfer</c:v>
                </c:pt>
                <c:pt idx="7">
                  <c:v>Cardless Cash Out</c:v>
                </c:pt>
                <c:pt idx="8">
                  <c:v>Account Management</c:v>
                </c:pt>
                <c:pt idx="9">
                  <c:v>Compliance</c:v>
                </c:pt>
              </c:strCache>
            </c:strRef>
          </c:cat>
          <c:val>
            <c:numRef>
              <c:f>_ChartData!$B$36:$B$45</c:f>
              <c:numCache>
                <c:formatCode>General</c:formatCode>
                <c:ptCount val="10"/>
                <c:pt idx="0">
                  <c:v>3936</c:v>
                </c:pt>
                <c:pt idx="1">
                  <c:v>809</c:v>
                </c:pt>
                <c:pt idx="2">
                  <c:v>790</c:v>
                </c:pt>
                <c:pt idx="3">
                  <c:v>706</c:v>
                </c:pt>
                <c:pt idx="4">
                  <c:v>656</c:v>
                </c:pt>
                <c:pt idx="5">
                  <c:v>411</c:v>
                </c:pt>
                <c:pt idx="6">
                  <c:v>320</c:v>
                </c:pt>
                <c:pt idx="7">
                  <c:v>311</c:v>
                </c:pt>
                <c:pt idx="8">
                  <c:v>266</c:v>
                </c:pt>
                <c:pt idx="9">
                  <c:v>220</c:v>
                </c:pt>
              </c:numCache>
            </c:numRef>
          </c:val>
          <c:extLst>
            <c:ext xmlns:c16="http://schemas.microsoft.com/office/drawing/2014/chart" uri="{C3380CC4-5D6E-409C-BE32-E72D297353CC}">
              <c16:uniqueId val="{00000014-4706-41F7-9AFF-8997787263F4}"/>
            </c:ext>
          </c:extLst>
        </c:ser>
        <c:dLbls>
          <c:dLblPos val="inEnd"/>
          <c:showLegendKey val="1"/>
          <c:showVal val="1"/>
          <c:showCatName val="0"/>
          <c:showSerName val="1"/>
          <c:showPercent val="0"/>
          <c:showBubbleSize val="1"/>
        </c:dLbls>
        <c:gapWidth val="247"/>
        <c:overlap val="-58"/>
        <c:axId val="10"/>
        <c:axId val="100"/>
      </c:barChart>
      <c:catAx>
        <c:axId val="1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Category</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zh-CN"/>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Count</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CN"/>
          </a:p>
        </c:txPr>
        <c:crossAx val="1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US" b="1">
                <a:solidFill>
                  <a:sysClr val="windowText" lastClr="000000"/>
                </a:solidFill>
              </a:rPr>
              <a:t>Resolution SLA: 64.2%</a:t>
            </a:r>
          </a:p>
        </c:rich>
      </c:tx>
      <c:layout>
        <c:manualLayout>
          <c:xMode val="edge"/>
          <c:yMode val="edge"/>
          <c:x val="0.20347530422333568"/>
          <c:y val="0"/>
        </c:manualLayout>
      </c:layout>
      <c:overlay val="1"/>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zh-CN"/>
        </a:p>
      </c:txPr>
    </c:title>
    <c:autoTitleDeleted val="0"/>
    <c:plotArea>
      <c:layout/>
      <c:doughnutChart>
        <c:varyColors val="1"/>
        <c:ser>
          <c:idx val="0"/>
          <c:order val="0"/>
          <c:tx>
            <c:strRef>
              <c:f>_ChartData!$B$47</c:f>
              <c:strCache>
                <c:ptCount val="1"/>
                <c:pt idx="0">
                  <c:v>Value</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AD68-46B3-B3E4-8638FC02913D}"/>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AD68-46B3-B3E4-8638FC0291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zh-CN"/>
              </a:p>
            </c:txPr>
            <c:showLegendKey val="0"/>
            <c:showVal val="1"/>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_ChartData!$A$48:$A$49</c:f>
              <c:strCache>
                <c:ptCount val="2"/>
                <c:pt idx="0">
                  <c:v>Met</c:v>
                </c:pt>
                <c:pt idx="1">
                  <c:v>Gap</c:v>
                </c:pt>
              </c:strCache>
            </c:strRef>
          </c:cat>
          <c:val>
            <c:numRef>
              <c:f>_ChartData!$B$48:$B$49</c:f>
              <c:numCache>
                <c:formatCode>General</c:formatCode>
                <c:ptCount val="2"/>
                <c:pt idx="0">
                  <c:v>64.2</c:v>
                </c:pt>
                <c:pt idx="1">
                  <c:v>35.799999999999997</c:v>
                </c:pt>
              </c:numCache>
            </c:numRef>
          </c:val>
          <c:extLst>
            <c:ext xmlns:c16="http://schemas.microsoft.com/office/drawing/2014/chart" uri="{C3380CC4-5D6E-409C-BE32-E72D297353CC}">
              <c16:uniqueId val="{00000004-AD68-46B3-B3E4-8638FC0291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US" b="1">
                <a:solidFill>
                  <a:sysClr val="windowText" lastClr="000000"/>
                </a:solidFill>
              </a:rPr>
              <a:t>Monthly SLA Trend</a:t>
            </a:r>
          </a:p>
        </c:rich>
      </c:tx>
      <c:layout>
        <c:manualLayout>
          <c:xMode val="edge"/>
          <c:yMode val="edge"/>
          <c:x val="0.37903148148148147"/>
          <c:y val="8.819444444444444E-3"/>
        </c:manualLayout>
      </c:layout>
      <c:overlay val="1"/>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zh-CN"/>
        </a:p>
      </c:txPr>
    </c:title>
    <c:autoTitleDeleted val="0"/>
    <c:plotArea>
      <c:layout/>
      <c:lineChart>
        <c:grouping val="standard"/>
        <c:varyColors val="1"/>
        <c:ser>
          <c:idx val="0"/>
          <c:order val="0"/>
          <c:tx>
            <c:strRef>
              <c:f>_ChartData!$B$51</c:f>
              <c:strCache>
                <c:ptCount val="1"/>
                <c:pt idx="0">
                  <c:v>SLA %</c:v>
                </c:pt>
              </c:strCache>
            </c:strRef>
          </c:tx>
          <c:spPr>
            <a:ln w="22225" cap="rnd" cmpd="sng" algn="ctr">
              <a:solidFill>
                <a:schemeClr val="accent1"/>
              </a:solidFill>
              <a:round/>
            </a:ln>
            <a:effectLst/>
          </c:spPr>
          <c:marker>
            <c:symbol val="none"/>
          </c:marker>
          <c:cat>
            <c:strRef>
              <c:f>_ChartData!$A$52:$A$67</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_ChartData!$B$52:$B$67</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0-15C2-44AA-ACF1-F65AEE4B16D7}"/>
            </c:ext>
          </c:extLst>
        </c:ser>
        <c:ser>
          <c:idx val="1"/>
          <c:order val="1"/>
          <c:tx>
            <c:strRef>
              <c:f>_ChartData!$C$51</c:f>
              <c:strCache>
                <c:ptCount val="1"/>
                <c:pt idx="0">
                  <c:v>Target</c:v>
                </c:pt>
              </c:strCache>
            </c:strRef>
          </c:tx>
          <c:spPr>
            <a:ln w="22225" cap="rnd" cmpd="sng" algn="ctr">
              <a:solidFill>
                <a:schemeClr val="accent2"/>
              </a:solidFill>
              <a:round/>
            </a:ln>
            <a:effectLst/>
          </c:spPr>
          <c:marker>
            <c:symbol val="none"/>
          </c:marker>
          <c:cat>
            <c:strRef>
              <c:f>_ChartData!$A$52:$A$67</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_ChartData!$C$52:$C$67</c:f>
              <c:numCache>
                <c:formatCode>General</c:formatCode>
                <c:ptCount val="16"/>
                <c:pt idx="0">
                  <c:v>95</c:v>
                </c:pt>
                <c:pt idx="1">
                  <c:v>95</c:v>
                </c:pt>
                <c:pt idx="2">
                  <c:v>95</c:v>
                </c:pt>
                <c:pt idx="3">
                  <c:v>95</c:v>
                </c:pt>
                <c:pt idx="4">
                  <c:v>95</c:v>
                </c:pt>
                <c:pt idx="5">
                  <c:v>95</c:v>
                </c:pt>
                <c:pt idx="6">
                  <c:v>95</c:v>
                </c:pt>
                <c:pt idx="7">
                  <c:v>95</c:v>
                </c:pt>
                <c:pt idx="8">
                  <c:v>95</c:v>
                </c:pt>
                <c:pt idx="9">
                  <c:v>95</c:v>
                </c:pt>
                <c:pt idx="10">
                  <c:v>95</c:v>
                </c:pt>
                <c:pt idx="11">
                  <c:v>95</c:v>
                </c:pt>
                <c:pt idx="12">
                  <c:v>95</c:v>
                </c:pt>
                <c:pt idx="13">
                  <c:v>95</c:v>
                </c:pt>
                <c:pt idx="14">
                  <c:v>95</c:v>
                </c:pt>
                <c:pt idx="15">
                  <c:v>95</c:v>
                </c:pt>
              </c:numCache>
            </c:numRef>
          </c:val>
          <c:smooth val="1"/>
          <c:extLst>
            <c:ext xmlns:c16="http://schemas.microsoft.com/office/drawing/2014/chart" uri="{C3380CC4-5D6E-409C-BE32-E72D297353CC}">
              <c16:uniqueId val="{00000001-15C2-44AA-ACF1-F65AEE4B16D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0"/>
        <c:axId val="100"/>
      </c:lineChart>
      <c:catAx>
        <c:axId val="1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zh-CN"/>
          </a:p>
        </c:txPr>
        <c:crossAx val="10"/>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CN"/>
        </a:p>
      </c:txPr>
    </c:legend>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c:style val="2"/>
  <c:chart>
    <c:title>
      <c:tx>
        <c:rich>
          <a:bodyPr/>
          <a:lstStyle/>
          <a:p>
            <a:pPr>
              <a:defRPr sz="1400"/>
            </a:pPr>
            <a:r>
              <a:rPr lang="en-US" sz="1400"/>
              <a:t>Changes by Type</a:t>
            </a:r>
          </a:p>
        </c:rich>
      </c:tx>
      <c:overlay val="1"/>
    </c:title>
    <c:autoTitleDeleted val="0"/>
    <c:plotArea>
      <c:layout/>
      <c:pieChart>
        <c:varyColors val="1"/>
        <c:ser>
          <c:idx val="0"/>
          <c:order val="0"/>
          <c:tx>
            <c:strRef>
              <c:f>_ChartData!$B$69</c:f>
              <c:strCache>
                <c:ptCount val="1"/>
                <c:pt idx="0">
                  <c:v>Count</c:v>
                </c:pt>
              </c:strCache>
            </c:strRef>
          </c:tx>
          <c:spPr>
            <a:ln>
              <a:prstDash val="solid"/>
            </a:ln>
          </c:spPr>
          <c:dPt>
            <c:idx val="0"/>
            <c:bubble3D val="0"/>
            <c:spPr>
              <a:solidFill>
                <a:srgbClr val="3B82F6"/>
              </a:solidFill>
              <a:ln>
                <a:prstDash val="solid"/>
              </a:ln>
            </c:spPr>
            <c:extLst>
              <c:ext xmlns:c16="http://schemas.microsoft.com/office/drawing/2014/chart" uri="{C3380CC4-5D6E-409C-BE32-E72D297353CC}">
                <c16:uniqueId val="{00000001-F16D-42C0-8B07-0953479B4ADB}"/>
              </c:ext>
            </c:extLst>
          </c:dPt>
          <c:dPt>
            <c:idx val="1"/>
            <c:bubble3D val="0"/>
            <c:spPr>
              <a:solidFill>
                <a:srgbClr val="22C55E"/>
              </a:solidFill>
              <a:ln>
                <a:prstDash val="solid"/>
              </a:ln>
            </c:spPr>
            <c:extLst>
              <c:ext xmlns:c16="http://schemas.microsoft.com/office/drawing/2014/chart" uri="{C3380CC4-5D6E-409C-BE32-E72D297353CC}">
                <c16:uniqueId val="{00000003-F16D-42C0-8B07-0953479B4ADB}"/>
              </c:ext>
            </c:extLst>
          </c:dPt>
          <c:dPt>
            <c:idx val="2"/>
            <c:bubble3D val="0"/>
            <c:spPr>
              <a:solidFill>
                <a:srgbClr val="EAB308"/>
              </a:solidFill>
              <a:ln>
                <a:prstDash val="solid"/>
              </a:ln>
            </c:spPr>
            <c:extLst>
              <c:ext xmlns:c16="http://schemas.microsoft.com/office/drawing/2014/chart" uri="{C3380CC4-5D6E-409C-BE32-E72D297353CC}">
                <c16:uniqueId val="{00000005-F16D-42C0-8B07-0953479B4ADB}"/>
              </c:ext>
            </c:extLst>
          </c:dPt>
          <c:dLbls>
            <c:spPr>
              <a:noFill/>
              <a:ln>
                <a:noFill/>
              </a:ln>
              <a:effectLst/>
            </c:spPr>
            <c:showLegendKey val="1"/>
            <c:showVal val="0"/>
            <c:showCatName val="1"/>
            <c:showSerName val="1"/>
            <c:showPercent val="1"/>
            <c:showBubbleSize val="1"/>
            <c:showLeaderLines val="1"/>
            <c:extLst>
              <c:ext xmlns:c15="http://schemas.microsoft.com/office/drawing/2012/chart" uri="{CE6537A1-D6FC-4f65-9D91-7224C49458BB}"/>
            </c:extLst>
          </c:dLbls>
          <c:cat>
            <c:strRef>
              <c:f>_ChartData!$A$70:$A$72</c:f>
              <c:strCache>
                <c:ptCount val="3"/>
                <c:pt idx="0">
                  <c:v>Type0</c:v>
                </c:pt>
                <c:pt idx="1">
                  <c:v>Type1</c:v>
                </c:pt>
                <c:pt idx="2">
                  <c:v>Type2</c:v>
                </c:pt>
              </c:strCache>
            </c:strRef>
          </c:cat>
          <c:val>
            <c:numRef>
              <c:f>_ChartData!$B$70:$B$72</c:f>
              <c:numCache>
                <c:formatCode>General</c:formatCode>
                <c:ptCount val="3"/>
                <c:pt idx="0">
                  <c:v>30</c:v>
                </c:pt>
                <c:pt idx="1">
                  <c:v>15</c:v>
                </c:pt>
                <c:pt idx="2">
                  <c:v>5</c:v>
                </c:pt>
              </c:numCache>
            </c:numRef>
          </c:val>
          <c:extLst>
            <c:ext xmlns:c16="http://schemas.microsoft.com/office/drawing/2014/chart" uri="{C3380CC4-5D6E-409C-BE32-E72D297353CC}">
              <c16:uniqueId val="{00000006-F16D-42C0-8B07-0953479B4ADB}"/>
            </c:ext>
          </c:extLst>
        </c:ser>
        <c:dLbls>
          <c:showLegendKey val="1"/>
          <c:showVal val="0"/>
          <c:showCatName val="1"/>
          <c:showSerName val="1"/>
          <c:showPercent val="1"/>
          <c:showBubbleSize val="1"/>
          <c:showLeaderLines val="1"/>
        </c:dLbls>
        <c:firstSliceAng val="0"/>
      </c:pieChart>
    </c:plotArea>
    <c:legend>
      <c:legendPos val="b"/>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Change Success Rate Trend</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zh-CN"/>
        </a:p>
      </c:txPr>
    </c:title>
    <c:autoTitleDeleted val="0"/>
    <c:plotArea>
      <c:layout/>
      <c:lineChart>
        <c:grouping val="standard"/>
        <c:varyColors val="1"/>
        <c:ser>
          <c:idx val="0"/>
          <c:order val="0"/>
          <c:tx>
            <c:strRef>
              <c:f>_ChartData!$B$74</c:f>
              <c:strCache>
                <c:ptCount val="1"/>
                <c:pt idx="0">
                  <c:v>Success %</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_ChartData!$A$75:$A$90</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_ChartData!$B$75:$B$90</c:f>
              <c:numCache>
                <c:formatCode>General</c:formatCode>
                <c:ptCount val="16"/>
                <c:pt idx="0">
                  <c:v>0</c:v>
                </c:pt>
                <c:pt idx="1">
                  <c:v>0</c:v>
                </c:pt>
                <c:pt idx="2">
                  <c:v>0</c:v>
                </c:pt>
                <c:pt idx="3">
                  <c:v>0</c:v>
                </c:pt>
                <c:pt idx="4">
                  <c:v>0</c:v>
                </c:pt>
                <c:pt idx="5">
                  <c:v>0</c:v>
                </c:pt>
                <c:pt idx="6">
                  <c:v>0</c:v>
                </c:pt>
                <c:pt idx="7">
                  <c:v>100</c:v>
                </c:pt>
                <c:pt idx="8">
                  <c:v>81.2</c:v>
                </c:pt>
                <c:pt idx="9">
                  <c:v>81.8</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0-2338-4E93-8469-04BAA5F20C55}"/>
            </c:ext>
          </c:extLst>
        </c:ser>
        <c:ser>
          <c:idx val="1"/>
          <c:order val="1"/>
          <c:tx>
            <c:strRef>
              <c:f>_ChartData!$C$74</c:f>
              <c:strCache>
                <c:ptCount val="1"/>
                <c:pt idx="0">
                  <c:v>Threshold</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_ChartData!$A$75:$A$90</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_ChartData!$C$75:$C$90</c:f>
              <c:numCache>
                <c:formatCode>General</c:formatCode>
                <c:ptCount val="16"/>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numCache>
            </c:numRef>
          </c:val>
          <c:smooth val="1"/>
          <c:extLst>
            <c:ext xmlns:c16="http://schemas.microsoft.com/office/drawing/2014/chart" uri="{C3380CC4-5D6E-409C-BE32-E72D297353CC}">
              <c16:uniqueId val="{00000001-2338-4E93-8469-04BAA5F20C55}"/>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Rate %</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crossAx val="1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zh-CN"/>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0" normalizeH="0" baseline="0">
                <a:solidFill>
                  <a:sysClr val="windowText" lastClr="000000"/>
                </a:solidFill>
                <a:latin typeface="+mn-lt"/>
                <a:ea typeface="+mj-ea"/>
                <a:cs typeface="+mj-cs"/>
              </a:defRPr>
            </a:pPr>
            <a:r>
              <a:rPr lang="en-US" sz="1400">
                <a:solidFill>
                  <a:sysClr val="windowText" lastClr="000000"/>
                </a:solidFill>
                <a:latin typeface="+mn-lt"/>
              </a:rPr>
              <a:t>Changes by Category</a:t>
            </a:r>
          </a:p>
        </c:rich>
      </c:tx>
      <c:layout>
        <c:manualLayout>
          <c:xMode val="edge"/>
          <c:yMode val="edge"/>
          <c:x val="0.34624768518518517"/>
          <c:y val="3.5277777777777776E-2"/>
        </c:manualLayout>
      </c:layout>
      <c:overlay val="1"/>
      <c:spPr>
        <a:noFill/>
        <a:ln>
          <a:noFill/>
        </a:ln>
        <a:effectLst/>
      </c:spPr>
      <c:txPr>
        <a:bodyPr rot="0" spcFirstLastPara="1" vertOverflow="ellipsis" vert="horz" wrap="square" anchor="ctr" anchorCtr="1"/>
        <a:lstStyle/>
        <a:p>
          <a:pPr>
            <a:defRPr sz="1400" b="1" i="0" u="none" strike="noStrike" kern="1200" cap="none" spc="0" normalizeH="0" baseline="0">
              <a:solidFill>
                <a:sysClr val="windowText" lastClr="000000"/>
              </a:solidFill>
              <a:latin typeface="+mn-lt"/>
              <a:ea typeface="+mj-ea"/>
              <a:cs typeface="+mj-cs"/>
            </a:defRPr>
          </a:pPr>
          <a:endParaRPr lang="zh-CN"/>
        </a:p>
      </c:txPr>
    </c:title>
    <c:autoTitleDeleted val="0"/>
    <c:plotArea>
      <c:layout/>
      <c:barChart>
        <c:barDir val="col"/>
        <c:grouping val="clustered"/>
        <c:varyColors val="1"/>
        <c:ser>
          <c:idx val="0"/>
          <c:order val="0"/>
          <c:tx>
            <c:strRef>
              <c:f>_ChartData!$B$92</c:f>
              <c:strCache>
                <c:ptCount val="1"/>
                <c:pt idx="0">
                  <c:v>Total</c:v>
                </c:pt>
              </c:strCache>
            </c:strRef>
          </c:tx>
          <c:spPr>
            <a:solidFill>
              <a:schemeClr val="accent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zh-CN"/>
              </a:p>
            </c:txPr>
            <c:dLblPos val="in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_ChartData!$A$93:$A$97</c:f>
              <c:strCache>
                <c:ptCount val="5"/>
                <c:pt idx="0">
                  <c:v>Infrastructure</c:v>
                </c:pt>
                <c:pt idx="1">
                  <c:v>Application</c:v>
                </c:pt>
                <c:pt idx="2">
                  <c:v>Database</c:v>
                </c:pt>
                <c:pt idx="3">
                  <c:v>Network</c:v>
                </c:pt>
                <c:pt idx="4">
                  <c:v>Security</c:v>
                </c:pt>
              </c:strCache>
            </c:strRef>
          </c:cat>
          <c:val>
            <c:numRef>
              <c:f>_ChartData!$B$93:$B$97</c:f>
              <c:numCache>
                <c:formatCode>General</c:formatCode>
                <c:ptCount val="5"/>
                <c:pt idx="0">
                  <c:v>16</c:v>
                </c:pt>
                <c:pt idx="1">
                  <c:v>11</c:v>
                </c:pt>
                <c:pt idx="2">
                  <c:v>9</c:v>
                </c:pt>
                <c:pt idx="3">
                  <c:v>7</c:v>
                </c:pt>
                <c:pt idx="4">
                  <c:v>7</c:v>
                </c:pt>
              </c:numCache>
            </c:numRef>
          </c:val>
          <c:extLst>
            <c:ext xmlns:c16="http://schemas.microsoft.com/office/drawing/2014/chart" uri="{C3380CC4-5D6E-409C-BE32-E72D297353CC}">
              <c16:uniqueId val="{00000000-3FED-42E7-8045-B3F1B30C29FD}"/>
            </c:ext>
          </c:extLst>
        </c:ser>
        <c:ser>
          <c:idx val="1"/>
          <c:order val="1"/>
          <c:tx>
            <c:strRef>
              <c:f>_ChartData!$C$92</c:f>
              <c:strCache>
                <c:ptCount val="1"/>
                <c:pt idx="0">
                  <c:v>Failed</c:v>
                </c:pt>
              </c:strCache>
            </c:strRef>
          </c:tx>
          <c:spPr>
            <a:solidFill>
              <a:schemeClr val="accent2"/>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zh-CN"/>
              </a:p>
            </c:txPr>
            <c:dLblPos val="in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_ChartData!$A$93:$A$97</c:f>
              <c:strCache>
                <c:ptCount val="5"/>
                <c:pt idx="0">
                  <c:v>Infrastructure</c:v>
                </c:pt>
                <c:pt idx="1">
                  <c:v>Application</c:v>
                </c:pt>
                <c:pt idx="2">
                  <c:v>Database</c:v>
                </c:pt>
                <c:pt idx="3">
                  <c:v>Network</c:v>
                </c:pt>
                <c:pt idx="4">
                  <c:v>Security</c:v>
                </c:pt>
              </c:strCache>
            </c:strRef>
          </c:cat>
          <c:val>
            <c:numRef>
              <c:f>_ChartData!$C$93:$C$97</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3FED-42E7-8045-B3F1B30C29FD}"/>
            </c:ext>
          </c:extLst>
        </c:ser>
        <c:dLbls>
          <c:dLblPos val="inEnd"/>
          <c:showLegendKey val="1"/>
          <c:showVal val="1"/>
          <c:showCatName val="0"/>
          <c:showSerName val="1"/>
          <c:showPercent val="0"/>
          <c:showBubbleSize val="1"/>
        </c:dLbls>
        <c:gapWidth val="267"/>
        <c:overlap val="-43"/>
        <c:axId val="10"/>
        <c:axId val="100"/>
      </c:barChart>
      <c:catAx>
        <c:axId val="10"/>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Category</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zh-C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CN"/>
          </a:p>
        </c:txPr>
        <c:crossAx val="10"/>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zh-CN"/>
        </a:p>
      </c:txPr>
    </c:legend>
    <c:plotVisOnly val="1"/>
    <c:dispBlanksAs val="gap"/>
    <c:showDLblsOverMax val="1"/>
  </c:chart>
  <c:spPr>
    <a:solidFill>
      <a:schemeClr val="lt1"/>
    </a:solidFill>
    <a:ln w="9525" cap="flat" cmpd="sng" algn="ctr">
      <a:solidFill>
        <a:schemeClr val="dk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US" b="1">
                <a:solidFill>
                  <a:sysClr val="windowText" lastClr="000000"/>
                </a:solidFill>
              </a:rPr>
              <a:t>Requests by Type</a:t>
            </a:r>
          </a:p>
        </c:rich>
      </c:tx>
      <c:overlay val="1"/>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zh-CN"/>
        </a:p>
      </c:txPr>
    </c:title>
    <c:autoTitleDeleted val="0"/>
    <c:plotArea>
      <c:layout/>
      <c:pieChart>
        <c:varyColors val="1"/>
        <c:ser>
          <c:idx val="0"/>
          <c:order val="0"/>
          <c:tx>
            <c:strRef>
              <c:f>_ChartData!$B$99</c:f>
              <c:strCache>
                <c:ptCount val="1"/>
                <c:pt idx="0">
                  <c:v>Count</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DAA8-4BC4-BBA7-2AACD31979DC}"/>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DAA8-4BC4-BBA7-2AACD31979DC}"/>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DAA8-4BC4-BBA7-2AACD31979DC}"/>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DAA8-4BC4-BBA7-2AACD31979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zh-CN"/>
              </a:p>
            </c:txPr>
            <c:showLegendKey val="1"/>
            <c:showVal val="0"/>
            <c:showCatName val="1"/>
            <c:showSerName val="1"/>
            <c:showPercent val="1"/>
            <c:showBubbleSize val="1"/>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_ChartData!$A$100:$A$103</c:f>
              <c:strCache>
                <c:ptCount val="4"/>
                <c:pt idx="0">
                  <c:v>Type0</c:v>
                </c:pt>
                <c:pt idx="1">
                  <c:v>Type1</c:v>
                </c:pt>
                <c:pt idx="2">
                  <c:v>Type2</c:v>
                </c:pt>
                <c:pt idx="3">
                  <c:v>Type3</c:v>
                </c:pt>
              </c:strCache>
            </c:strRef>
          </c:cat>
          <c:val>
            <c:numRef>
              <c:f>_ChartData!$B$100:$B$103</c:f>
              <c:numCache>
                <c:formatCode>General</c:formatCode>
                <c:ptCount val="4"/>
                <c:pt idx="0">
                  <c:v>20</c:v>
                </c:pt>
                <c:pt idx="1">
                  <c:v>14</c:v>
                </c:pt>
                <c:pt idx="2">
                  <c:v>7</c:v>
                </c:pt>
                <c:pt idx="3">
                  <c:v>9</c:v>
                </c:pt>
              </c:numCache>
            </c:numRef>
          </c:val>
          <c:extLst>
            <c:ext xmlns:c16="http://schemas.microsoft.com/office/drawing/2014/chart" uri="{C3380CC4-5D6E-409C-BE32-E72D297353CC}">
              <c16:uniqueId val="{00000008-DAA8-4BC4-BBA7-2AACD31979DC}"/>
            </c:ext>
          </c:extLst>
        </c:ser>
        <c:dLbls>
          <c:showLegendKey val="1"/>
          <c:showVal val="0"/>
          <c:showCatName val="1"/>
          <c:showSerName val="1"/>
          <c:showPercent val="1"/>
          <c:showBubbleSize val="1"/>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ysClr val="windowText" lastClr="000000"/>
                </a:solidFill>
                <a:latin typeface="+mn-lt"/>
                <a:ea typeface="+mn-ea"/>
                <a:cs typeface="+mn-cs"/>
              </a:defRPr>
            </a:pPr>
            <a:r>
              <a:rPr lang="en-US" sz="1400">
                <a:solidFill>
                  <a:sysClr val="windowText" lastClr="000000"/>
                </a:solidFill>
              </a:rPr>
              <a:t>CSAT Distribution</a:t>
            </a:r>
          </a:p>
        </c:rich>
      </c:tx>
      <c:overlay val="1"/>
      <c:spPr>
        <a:noFill/>
        <a:ln>
          <a:noFill/>
        </a:ln>
        <a:effectLst/>
      </c:spPr>
      <c:txPr>
        <a:bodyPr rot="0" spcFirstLastPara="1" vertOverflow="ellipsis" vert="horz" wrap="square" anchor="ctr" anchorCtr="1"/>
        <a:lstStyle/>
        <a:p>
          <a:pPr>
            <a:defRPr sz="1400" b="1" i="0" u="none" strike="noStrike" kern="1200" cap="all" spc="120" normalizeH="0" baseline="0">
              <a:solidFill>
                <a:sysClr val="windowText" lastClr="000000"/>
              </a:solidFill>
              <a:latin typeface="+mn-lt"/>
              <a:ea typeface="+mn-ea"/>
              <a:cs typeface="+mn-cs"/>
            </a:defRPr>
          </a:pPr>
          <a:endParaRPr lang="zh-CN"/>
        </a:p>
      </c:txPr>
    </c:title>
    <c:autoTitleDeleted val="0"/>
    <c:plotArea>
      <c:layout/>
      <c:barChart>
        <c:barDir val="col"/>
        <c:grouping val="clustered"/>
        <c:varyColors val="1"/>
        <c:ser>
          <c:idx val="0"/>
          <c:order val="0"/>
          <c:tx>
            <c:strRef>
              <c:f>_ChartData!$B$105</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0356-4760-BD7F-5E7ABCA10BCA}"/>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0356-4760-BD7F-5E7ABCA10BCA}"/>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0356-4760-BD7F-5E7ABCA10BCA}"/>
              </c:ext>
            </c:extLst>
          </c:dPt>
          <c:dPt>
            <c:idx val="3"/>
            <c:invertIfNegative val="1"/>
            <c:bubble3D val="0"/>
            <c:spPr>
              <a:solidFill>
                <a:schemeClr val="accent4"/>
              </a:solidFill>
              <a:ln>
                <a:noFill/>
              </a:ln>
              <a:effectLst/>
            </c:spPr>
            <c:extLst>
              <c:ext xmlns:c16="http://schemas.microsoft.com/office/drawing/2014/chart" uri="{C3380CC4-5D6E-409C-BE32-E72D297353CC}">
                <c16:uniqueId val="{00000007-0356-4760-BD7F-5E7ABCA10BCA}"/>
              </c:ext>
            </c:extLst>
          </c:dPt>
          <c:dPt>
            <c:idx val="4"/>
            <c:invertIfNegative val="1"/>
            <c:bubble3D val="0"/>
            <c:spPr>
              <a:solidFill>
                <a:schemeClr val="accent5"/>
              </a:solidFill>
              <a:ln>
                <a:noFill/>
              </a:ln>
              <a:effectLst/>
            </c:spPr>
            <c:extLst>
              <c:ext xmlns:c16="http://schemas.microsoft.com/office/drawing/2014/chart" uri="{C3380CC4-5D6E-409C-BE32-E72D297353CC}">
                <c16:uniqueId val="{00000009-0356-4760-BD7F-5E7ABCA10BCA}"/>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dLblPos val="out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_ChartData!$A$106:$A$110</c:f>
              <c:strCache>
                <c:ptCount val="5"/>
                <c:pt idx="0">
                  <c:v>5</c:v>
                </c:pt>
                <c:pt idx="1">
                  <c:v>4</c:v>
                </c:pt>
                <c:pt idx="2">
                  <c:v>3</c:v>
                </c:pt>
                <c:pt idx="3">
                  <c:v>2</c:v>
                </c:pt>
                <c:pt idx="4">
                  <c:v>1</c:v>
                </c:pt>
              </c:strCache>
            </c:strRef>
          </c:cat>
          <c:val>
            <c:numRef>
              <c:f>_ChartData!$B$106:$B$110</c:f>
              <c:numCache>
                <c:formatCode>General</c:formatCode>
                <c:ptCount val="5"/>
                <c:pt idx="0">
                  <c:v>10</c:v>
                </c:pt>
                <c:pt idx="1">
                  <c:v>9</c:v>
                </c:pt>
                <c:pt idx="2">
                  <c:v>7</c:v>
                </c:pt>
                <c:pt idx="3">
                  <c:v>5</c:v>
                </c:pt>
                <c:pt idx="4">
                  <c:v>2</c:v>
                </c:pt>
              </c:numCache>
            </c:numRef>
          </c:val>
          <c:extLst>
            <c:ext xmlns:c16="http://schemas.microsoft.com/office/drawing/2014/chart" uri="{C3380CC4-5D6E-409C-BE32-E72D297353CC}">
              <c16:uniqueId val="{0000000A-0356-4760-BD7F-5E7ABCA10BCA}"/>
            </c:ext>
          </c:extLst>
        </c:ser>
        <c:dLbls>
          <c:dLblPos val="outEnd"/>
          <c:showLegendKey val="1"/>
          <c:showVal val="1"/>
          <c:showCatName val="0"/>
          <c:showSerName val="1"/>
          <c:showPercent val="0"/>
          <c:showBubbleSize val="1"/>
        </c:dLbls>
        <c:gapWidth val="444"/>
        <c:overlap val="-90"/>
        <c:axId val="10"/>
        <c:axId val="100"/>
      </c:barChart>
      <c:catAx>
        <c:axId val="1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Rating</a:t>
                </a:r>
              </a:p>
            </c:rich>
          </c:tx>
          <c:overlay val="1"/>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zh-C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zh-CN"/>
            </a:p>
          </c:txPr>
        </c:title>
        <c:numFmt formatCode="General" sourceLinked="1"/>
        <c:majorTickMark val="none"/>
        <c:minorTickMark val="none"/>
        <c:tickLblPos val="nextTo"/>
        <c:crossAx val="10"/>
        <c:crosses val="autoZero"/>
        <c:crossBetween val="between"/>
      </c:valAx>
      <c:spPr>
        <a:noFill/>
        <a:ln>
          <a:noFill/>
        </a:ln>
        <a:effectLst/>
      </c:spPr>
    </c:plotArea>
    <c:plotVisOnly val="1"/>
    <c:dispBlanksAs val="gap"/>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US" sz="1400"/>
              <a:t>Monthly Request Trend</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zh-CN"/>
        </a:p>
      </c:txPr>
    </c:title>
    <c:autoTitleDeleted val="0"/>
    <c:plotArea>
      <c:layout/>
      <c:barChart>
        <c:barDir val="col"/>
        <c:grouping val="clustered"/>
        <c:varyColors val="1"/>
        <c:ser>
          <c:idx val="0"/>
          <c:order val="0"/>
          <c:tx>
            <c:strRef>
              <c:f>_ChartData!$B$112</c:f>
              <c:strCache>
                <c:ptCount val="1"/>
                <c:pt idx="0">
                  <c:v>Volume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_ChartData!$A$113:$A$128</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_ChartData!$B$113:$B$128</c:f>
              <c:numCache>
                <c:formatCode>General</c:formatCode>
                <c:ptCount val="16"/>
                <c:pt idx="0">
                  <c:v>0</c:v>
                </c:pt>
                <c:pt idx="1">
                  <c:v>0</c:v>
                </c:pt>
                <c:pt idx="2">
                  <c:v>0</c:v>
                </c:pt>
                <c:pt idx="3">
                  <c:v>0</c:v>
                </c:pt>
                <c:pt idx="4">
                  <c:v>0</c:v>
                </c:pt>
                <c:pt idx="5">
                  <c:v>0</c:v>
                </c:pt>
                <c:pt idx="6">
                  <c:v>0</c:v>
                </c:pt>
                <c:pt idx="7">
                  <c:v>9</c:v>
                </c:pt>
                <c:pt idx="8">
                  <c:v>30</c:v>
                </c:pt>
                <c:pt idx="9">
                  <c:v>11</c:v>
                </c:pt>
                <c:pt idx="10">
                  <c:v>0</c:v>
                </c:pt>
                <c:pt idx="11">
                  <c:v>0</c:v>
                </c:pt>
                <c:pt idx="12">
                  <c:v>0</c:v>
                </c:pt>
                <c:pt idx="13">
                  <c:v>0</c:v>
                </c:pt>
                <c:pt idx="14">
                  <c:v>0</c:v>
                </c:pt>
                <c:pt idx="15">
                  <c:v>0</c:v>
                </c:pt>
              </c:numCache>
            </c:numRef>
          </c:val>
          <c:extLst>
            <c:ext xmlns:c16="http://schemas.microsoft.com/office/drawing/2014/chart" uri="{C3380CC4-5D6E-409C-BE32-E72D297353CC}">
              <c16:uniqueId val="{00000000-6E33-48DD-92C7-6CC891C2EDB7}"/>
            </c:ext>
          </c:extLst>
        </c:ser>
        <c:dLbls>
          <c:showLegendKey val="1"/>
          <c:showVal val="1"/>
          <c:showCatName val="0"/>
          <c:showSerName val="1"/>
          <c:showPercent val="0"/>
          <c:showBubbleSize val="1"/>
        </c:dLbls>
        <c:gapWidth val="150"/>
        <c:axId val="10"/>
        <c:axId val="100"/>
      </c:barChart>
      <c:lineChart>
        <c:grouping val="standard"/>
        <c:varyColors val="1"/>
        <c:ser>
          <c:idx val="1"/>
          <c:order val="1"/>
          <c:tx>
            <c:strRef>
              <c:f>_ChartData!$C$112</c:f>
              <c:strCache>
                <c:ptCount val="1"/>
                <c:pt idx="0">
                  <c:v>Avg CSAT</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val>
            <c:numRef>
              <c:f>_ChartData!$C$113:$C$128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1-6E33-48DD-92C7-6CC891C2EDB7}"/>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Volume</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
        <c:crosses val="autoZero"/>
        <c:crossBetween val="between"/>
      </c:valAx>
      <c:valAx>
        <c:axId val="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CSAT</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ysClr val="windowText" lastClr="000000"/>
                </a:solidFill>
                <a:latin typeface="Calibri (正文)"/>
                <a:ea typeface="+mn-ea"/>
                <a:cs typeface="+mn-cs"/>
              </a:defRPr>
            </a:pPr>
            <a:r>
              <a:rPr lang="en-US" sz="1400">
                <a:solidFill>
                  <a:sysClr val="windowText" lastClr="000000"/>
                </a:solidFill>
                <a:latin typeface="Calibri (正文)"/>
              </a:rPr>
              <a:t>Fulfillment Time by Type (hours)</a:t>
            </a:r>
          </a:p>
        </c:rich>
      </c:tx>
      <c:layout>
        <c:manualLayout>
          <c:xMode val="edge"/>
          <c:yMode val="edge"/>
          <c:x val="0.24802839506172839"/>
          <c:y val="5.2916666666666667E-2"/>
        </c:manualLayout>
      </c:layout>
      <c:overlay val="1"/>
      <c:spPr>
        <a:noFill/>
        <a:ln>
          <a:noFill/>
        </a:ln>
        <a:effectLst/>
      </c:spPr>
      <c:txPr>
        <a:bodyPr rot="0" spcFirstLastPara="1" vertOverflow="ellipsis" vert="horz" wrap="square" anchor="ctr" anchorCtr="1"/>
        <a:lstStyle/>
        <a:p>
          <a:pPr>
            <a:defRPr sz="1400" b="1" i="0" u="none" strike="noStrike" kern="1200" cap="all" spc="120" normalizeH="0" baseline="0">
              <a:solidFill>
                <a:sysClr val="windowText" lastClr="000000"/>
              </a:solidFill>
              <a:latin typeface="Calibri (正文)"/>
              <a:ea typeface="+mn-ea"/>
              <a:cs typeface="+mn-cs"/>
            </a:defRPr>
          </a:pPr>
          <a:endParaRPr lang="zh-CN"/>
        </a:p>
      </c:txPr>
    </c:title>
    <c:autoTitleDeleted val="0"/>
    <c:plotArea>
      <c:layout/>
      <c:barChart>
        <c:barDir val="col"/>
        <c:grouping val="clustered"/>
        <c:varyColors val="1"/>
        <c:ser>
          <c:idx val="0"/>
          <c:order val="0"/>
          <c:tx>
            <c:strRef>
              <c:f>_ChartData!$B$130</c:f>
              <c:strCache>
                <c:ptCount val="1"/>
                <c:pt idx="0">
                  <c:v>Min</c:v>
                </c:pt>
              </c:strCache>
            </c:strRef>
          </c:tx>
          <c:spPr>
            <a:solidFill>
              <a:schemeClr val="accent1"/>
            </a:solidFill>
            <a:ln>
              <a:noFill/>
            </a:ln>
            <a:effectLst/>
          </c:spPr>
          <c:invertIfNegative val="1"/>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dLblPos val="out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_ChartData!$A$131:$A$134</c:f>
              <c:strCache>
                <c:ptCount val="4"/>
                <c:pt idx="0">
                  <c:v>Access</c:v>
                </c:pt>
                <c:pt idx="1">
                  <c:v>Information</c:v>
                </c:pt>
                <c:pt idx="2">
                  <c:v>Provisioning</c:v>
                </c:pt>
                <c:pt idx="3">
                  <c:v>Standard Change</c:v>
                </c:pt>
              </c:strCache>
            </c:strRef>
          </c:cat>
          <c:val>
            <c:numRef>
              <c:f>_ChartData!$B$131:$B$134</c:f>
              <c:numCache>
                <c:formatCode>General</c:formatCode>
                <c:ptCount val="4"/>
                <c:pt idx="0">
                  <c:v>6</c:v>
                </c:pt>
                <c:pt idx="1">
                  <c:v>11</c:v>
                </c:pt>
                <c:pt idx="2">
                  <c:v>9</c:v>
                </c:pt>
                <c:pt idx="3">
                  <c:v>11</c:v>
                </c:pt>
              </c:numCache>
            </c:numRef>
          </c:val>
          <c:extLst>
            <c:ext xmlns:c16="http://schemas.microsoft.com/office/drawing/2014/chart" uri="{C3380CC4-5D6E-409C-BE32-E72D297353CC}">
              <c16:uniqueId val="{00000000-0BF3-4C94-8827-52423E10EB7E}"/>
            </c:ext>
          </c:extLst>
        </c:ser>
        <c:ser>
          <c:idx val="1"/>
          <c:order val="1"/>
          <c:tx>
            <c:strRef>
              <c:f>_ChartData!$C$130</c:f>
              <c:strCache>
                <c:ptCount val="1"/>
                <c:pt idx="0">
                  <c:v>Avg</c:v>
                </c:pt>
              </c:strCache>
            </c:strRef>
          </c:tx>
          <c:spPr>
            <a:solidFill>
              <a:schemeClr val="accent2"/>
            </a:solidFill>
            <a:ln>
              <a:noFill/>
            </a:ln>
            <a:effectLst/>
          </c:spPr>
          <c:invertIfNegative val="1"/>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dLblPos val="out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_ChartData!$A$131:$A$134</c:f>
              <c:strCache>
                <c:ptCount val="4"/>
                <c:pt idx="0">
                  <c:v>Access</c:v>
                </c:pt>
                <c:pt idx="1">
                  <c:v>Information</c:v>
                </c:pt>
                <c:pt idx="2">
                  <c:v>Provisioning</c:v>
                </c:pt>
                <c:pt idx="3">
                  <c:v>Standard Change</c:v>
                </c:pt>
              </c:strCache>
            </c:strRef>
          </c:cat>
          <c:val>
            <c:numRef>
              <c:f>_ChartData!$C$131:$C$134</c:f>
              <c:numCache>
                <c:formatCode>General</c:formatCode>
                <c:ptCount val="4"/>
                <c:pt idx="0">
                  <c:v>24.6</c:v>
                </c:pt>
                <c:pt idx="1">
                  <c:v>39.299999999999997</c:v>
                </c:pt>
                <c:pt idx="2">
                  <c:v>45.9</c:v>
                </c:pt>
                <c:pt idx="3">
                  <c:v>41.2</c:v>
                </c:pt>
              </c:numCache>
            </c:numRef>
          </c:val>
          <c:extLst>
            <c:ext xmlns:c16="http://schemas.microsoft.com/office/drawing/2014/chart" uri="{C3380CC4-5D6E-409C-BE32-E72D297353CC}">
              <c16:uniqueId val="{00000001-0BF3-4C94-8827-52423E10EB7E}"/>
            </c:ext>
          </c:extLst>
        </c:ser>
        <c:ser>
          <c:idx val="2"/>
          <c:order val="2"/>
          <c:tx>
            <c:strRef>
              <c:f>_ChartData!$D$130</c:f>
              <c:strCache>
                <c:ptCount val="1"/>
                <c:pt idx="0">
                  <c:v>Max</c:v>
                </c:pt>
              </c:strCache>
            </c:strRef>
          </c:tx>
          <c:spPr>
            <a:solidFill>
              <a:schemeClr val="accent3"/>
            </a:solidFill>
            <a:ln>
              <a:noFill/>
            </a:ln>
            <a:effectLst/>
          </c:spPr>
          <c:invertIfNegative val="1"/>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dLblPos val="out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_ChartData!$A$131:$A$134</c:f>
              <c:strCache>
                <c:ptCount val="4"/>
                <c:pt idx="0">
                  <c:v>Access</c:v>
                </c:pt>
                <c:pt idx="1">
                  <c:v>Information</c:v>
                </c:pt>
                <c:pt idx="2">
                  <c:v>Provisioning</c:v>
                </c:pt>
                <c:pt idx="3">
                  <c:v>Standard Change</c:v>
                </c:pt>
              </c:strCache>
            </c:strRef>
          </c:cat>
          <c:val>
            <c:numRef>
              <c:f>_ChartData!$D$131:$D$134</c:f>
              <c:numCache>
                <c:formatCode>General</c:formatCode>
                <c:ptCount val="4"/>
                <c:pt idx="0">
                  <c:v>60</c:v>
                </c:pt>
                <c:pt idx="1">
                  <c:v>57</c:v>
                </c:pt>
                <c:pt idx="2">
                  <c:v>72</c:v>
                </c:pt>
                <c:pt idx="3">
                  <c:v>61</c:v>
                </c:pt>
              </c:numCache>
            </c:numRef>
          </c:val>
          <c:extLst>
            <c:ext xmlns:c16="http://schemas.microsoft.com/office/drawing/2014/chart" uri="{C3380CC4-5D6E-409C-BE32-E72D297353CC}">
              <c16:uniqueId val="{00000002-0BF3-4C94-8827-52423E10EB7E}"/>
            </c:ext>
          </c:extLst>
        </c:ser>
        <c:dLbls>
          <c:dLblPos val="outEnd"/>
          <c:showLegendKey val="1"/>
          <c:showVal val="1"/>
          <c:showCatName val="0"/>
          <c:showSerName val="1"/>
          <c:showPercent val="0"/>
          <c:showBubbleSize val="1"/>
        </c:dLbls>
        <c:gapWidth val="444"/>
        <c:overlap val="-90"/>
        <c:axId val="10"/>
        <c:axId val="100"/>
      </c:barChart>
      <c:catAx>
        <c:axId val="1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Problem Status </a:t>
            </a:r>
            <a:r>
              <a:rPr lang="en-US" sz="1400"/>
              <a:t>Funnel</a:t>
            </a:r>
            <a:endParaRPr lang="en-US"/>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zh-CN"/>
        </a:p>
      </c:txPr>
    </c:title>
    <c:autoTitleDeleted val="0"/>
    <c:plotArea>
      <c:layout/>
      <c:barChart>
        <c:barDir val="bar"/>
        <c:grouping val="clustered"/>
        <c:varyColors val="1"/>
        <c:ser>
          <c:idx val="0"/>
          <c:order val="0"/>
          <c:tx>
            <c:strRef>
              <c:f>_ChartData!$B$136</c:f>
              <c:strCache>
                <c:ptCount val="1"/>
                <c:pt idx="0">
                  <c:v>Count</c:v>
                </c:pt>
              </c:strCache>
            </c:strRef>
          </c:tx>
          <c:invertIfNegative val="1"/>
          <c:dPt>
            <c:idx val="0"/>
            <c:invertIfNegative val="1"/>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133C-4F24-8E00-F7171024B43B}"/>
              </c:ext>
            </c:extLst>
          </c:dPt>
          <c:dPt>
            <c:idx val="1"/>
            <c:invertIfNegative val="1"/>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133C-4F24-8E00-F7171024B43B}"/>
              </c:ext>
            </c:extLst>
          </c:dPt>
          <c:dPt>
            <c:idx val="2"/>
            <c:invertIfNegative val="1"/>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133C-4F24-8E00-F7171024B43B}"/>
              </c:ext>
            </c:extLst>
          </c:dPt>
          <c:dPt>
            <c:idx val="3"/>
            <c:invertIfNegative val="1"/>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133C-4F24-8E00-F7171024B43B}"/>
              </c:ext>
            </c:extLst>
          </c:dPt>
          <c:dPt>
            <c:idx val="4"/>
            <c:invertIfNegative val="1"/>
            <c:bubble3D val="0"/>
            <c:spPr>
              <a:solidFill>
                <a:schemeClr val="accent5">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133C-4F24-8E00-F7171024B43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in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_ChartData!$A$137:$A$141</c:f>
              <c:strCache>
                <c:ptCount val="5"/>
                <c:pt idx="0">
                  <c:v>Known Error</c:v>
                </c:pt>
                <c:pt idx="1">
                  <c:v>Resolved</c:v>
                </c:pt>
                <c:pt idx="2">
                  <c:v>Closed</c:v>
                </c:pt>
                <c:pt idx="3">
                  <c:v>Under Investigation</c:v>
                </c:pt>
                <c:pt idx="4">
                  <c:v>New</c:v>
                </c:pt>
              </c:strCache>
            </c:strRef>
          </c:cat>
          <c:val>
            <c:numRef>
              <c:f>_ChartData!$B$137:$B$141</c:f>
              <c:numCache>
                <c:formatCode>General</c:formatCode>
                <c:ptCount val="5"/>
                <c:pt idx="0">
                  <c:v>14</c:v>
                </c:pt>
                <c:pt idx="1">
                  <c:v>16</c:v>
                </c:pt>
                <c:pt idx="2">
                  <c:v>8</c:v>
                </c:pt>
                <c:pt idx="3">
                  <c:v>10</c:v>
                </c:pt>
                <c:pt idx="4">
                  <c:v>2</c:v>
                </c:pt>
              </c:numCache>
            </c:numRef>
          </c:val>
          <c:extLst>
            <c:ext xmlns:c16="http://schemas.microsoft.com/office/drawing/2014/chart" uri="{C3380CC4-5D6E-409C-BE32-E72D297353CC}">
              <c16:uniqueId val="{0000000A-133C-4F24-8E00-F7171024B43B}"/>
            </c:ext>
          </c:extLst>
        </c:ser>
        <c:dLbls>
          <c:dLblPos val="inEnd"/>
          <c:showLegendKey val="1"/>
          <c:showVal val="1"/>
          <c:showCatName val="0"/>
          <c:showSerName val="1"/>
          <c:showPercent val="0"/>
          <c:showBubbleSize val="1"/>
        </c:dLbls>
        <c:gapWidth val="65"/>
        <c:axId val="10"/>
        <c:axId val="100"/>
      </c:barChart>
      <c:catAx>
        <c:axId val="1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Status</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zh-CN"/>
          </a:p>
        </c:txPr>
        <c:crossAx val="10"/>
        <c:crosses val="autoZero"/>
        <c:crossBetween val="between"/>
      </c:valAx>
      <c:spPr>
        <a:noFill/>
        <a:ln>
          <a:noFill/>
        </a:ln>
        <a:effectLst/>
      </c:spPr>
    </c:plotArea>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US" b="1">
                <a:solidFill>
                  <a:sysClr val="windowText" lastClr="000000"/>
                </a:solidFill>
              </a:rPr>
              <a:t>Root Cause Distribution</a:t>
            </a:r>
          </a:p>
        </c:rich>
      </c:tx>
      <c:overlay val="1"/>
      <c:spPr>
        <a:no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zh-CN"/>
        </a:p>
      </c:txPr>
    </c:title>
    <c:autoTitleDeleted val="0"/>
    <c:plotArea>
      <c:layout/>
      <c:pieChart>
        <c:varyColors val="1"/>
        <c:ser>
          <c:idx val="0"/>
          <c:order val="0"/>
          <c:tx>
            <c:strRef>
              <c:f>_ChartData!$B$143</c:f>
              <c:strCache>
                <c:ptCount val="1"/>
                <c:pt idx="0">
                  <c:v>Count</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35C5-4FA8-8F68-FF55CE178F00}"/>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35C5-4FA8-8F68-FF55CE178F00}"/>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35C5-4FA8-8F68-FF55CE178F00}"/>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35C5-4FA8-8F68-FF55CE178F00}"/>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35C5-4FA8-8F68-FF55CE178F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zh-CN"/>
              </a:p>
            </c:txPr>
            <c:showLegendKey val="1"/>
            <c:showVal val="0"/>
            <c:showCatName val="1"/>
            <c:showSerName val="1"/>
            <c:showPercent val="1"/>
            <c:showBubbleSize val="1"/>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_ChartData!$A$144:$A$148</c:f>
              <c:strCache>
                <c:ptCount val="5"/>
                <c:pt idx="0">
                  <c:v>RC0</c:v>
                </c:pt>
                <c:pt idx="1">
                  <c:v>RC1</c:v>
                </c:pt>
                <c:pt idx="2">
                  <c:v>RC2</c:v>
                </c:pt>
                <c:pt idx="3">
                  <c:v>RC3</c:v>
                </c:pt>
                <c:pt idx="4">
                  <c:v>RC4</c:v>
                </c:pt>
              </c:strCache>
            </c:strRef>
          </c:cat>
          <c:val>
            <c:numRef>
              <c:f>_ChartData!$B$144:$B$148</c:f>
              <c:numCache>
                <c:formatCode>General</c:formatCode>
                <c:ptCount val="5"/>
                <c:pt idx="0">
                  <c:v>15</c:v>
                </c:pt>
                <c:pt idx="1">
                  <c:v>8</c:v>
                </c:pt>
                <c:pt idx="2">
                  <c:v>11</c:v>
                </c:pt>
                <c:pt idx="3">
                  <c:v>13</c:v>
                </c:pt>
                <c:pt idx="4">
                  <c:v>3</c:v>
                </c:pt>
              </c:numCache>
            </c:numRef>
          </c:val>
          <c:extLst>
            <c:ext xmlns:c16="http://schemas.microsoft.com/office/drawing/2014/chart" uri="{C3380CC4-5D6E-409C-BE32-E72D297353CC}">
              <c16:uniqueId val="{0000000A-35C5-4FA8-8F68-FF55CE178F00}"/>
            </c:ext>
          </c:extLst>
        </c:ser>
        <c:dLbls>
          <c:showLegendKey val="1"/>
          <c:showVal val="0"/>
          <c:showCatName val="1"/>
          <c:showSerName val="1"/>
          <c:showPercent val="1"/>
          <c:showBubbleSize val="1"/>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a:solidFill>
                  <a:sysClr val="windowText" lastClr="000000"/>
                </a:solidFill>
              </a:rPr>
              <a:t>Monthly Problem Trend</a:t>
            </a:r>
          </a:p>
        </c:rich>
      </c:tx>
      <c:overlay val="1"/>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zh-CN"/>
        </a:p>
      </c:txPr>
    </c:title>
    <c:autoTitleDeleted val="0"/>
    <c:plotArea>
      <c:layout/>
      <c:barChart>
        <c:barDir val="col"/>
        <c:grouping val="clustered"/>
        <c:varyColors val="1"/>
        <c:ser>
          <c:idx val="0"/>
          <c:order val="0"/>
          <c:tx>
            <c:strRef>
              <c:f>_ChartData!$B$150</c:f>
              <c:strCache>
                <c:ptCount val="1"/>
                <c:pt idx="0">
                  <c:v>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zh-CN"/>
              </a:p>
            </c:txPr>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_ChartData!$A$151:$A$166</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_ChartData!$B$151:$B$166</c:f>
              <c:numCache>
                <c:formatCode>General</c:formatCode>
                <c:ptCount val="16"/>
                <c:pt idx="0">
                  <c:v>0</c:v>
                </c:pt>
                <c:pt idx="1">
                  <c:v>0</c:v>
                </c:pt>
                <c:pt idx="2">
                  <c:v>0</c:v>
                </c:pt>
                <c:pt idx="3">
                  <c:v>0</c:v>
                </c:pt>
                <c:pt idx="4">
                  <c:v>0</c:v>
                </c:pt>
                <c:pt idx="5">
                  <c:v>0</c:v>
                </c:pt>
                <c:pt idx="6">
                  <c:v>0</c:v>
                </c:pt>
                <c:pt idx="7">
                  <c:v>11</c:v>
                </c:pt>
                <c:pt idx="8">
                  <c:v>28</c:v>
                </c:pt>
                <c:pt idx="9">
                  <c:v>11</c:v>
                </c:pt>
                <c:pt idx="10">
                  <c:v>0</c:v>
                </c:pt>
                <c:pt idx="11">
                  <c:v>0</c:v>
                </c:pt>
                <c:pt idx="12">
                  <c:v>0</c:v>
                </c:pt>
                <c:pt idx="13">
                  <c:v>0</c:v>
                </c:pt>
                <c:pt idx="14">
                  <c:v>0</c:v>
                </c:pt>
                <c:pt idx="15">
                  <c:v>0</c:v>
                </c:pt>
              </c:numCache>
            </c:numRef>
          </c:val>
          <c:extLst>
            <c:ext xmlns:c16="http://schemas.microsoft.com/office/drawing/2014/chart" uri="{C3380CC4-5D6E-409C-BE32-E72D297353CC}">
              <c16:uniqueId val="{00000000-630A-41FF-8528-97EE124B5FCE}"/>
            </c:ext>
          </c:extLst>
        </c:ser>
        <c:dLbls>
          <c:showLegendKey val="1"/>
          <c:showVal val="1"/>
          <c:showCatName val="0"/>
          <c:showSerName val="1"/>
          <c:showPercent val="0"/>
          <c:showBubbleSize val="1"/>
        </c:dLbls>
        <c:gapWidth val="150"/>
        <c:axId val="10"/>
        <c:axId val="100"/>
      </c:barChart>
      <c:lineChart>
        <c:grouping val="standard"/>
        <c:varyColors val="1"/>
        <c:ser>
          <c:idx val="1"/>
          <c:order val="1"/>
          <c:tx>
            <c:strRef>
              <c:f>_ChartData!$C$150</c:f>
              <c:strCache>
                <c:ptCount val="1"/>
                <c:pt idx="0">
                  <c:v>Cumulative</c:v>
                </c:pt>
              </c:strCache>
            </c:strRef>
          </c:tx>
          <c:spPr>
            <a:ln w="31750" cap="rnd">
              <a:solidFill>
                <a:schemeClr val="accent2"/>
              </a:solidFill>
              <a:round/>
            </a:ln>
            <a:effectLst>
              <a:outerShdw blurRad="40000" dist="23000" dir="5400000" rotWithShape="0">
                <a:srgbClr val="000000">
                  <a:alpha val="35000"/>
                </a:srgbClr>
              </a:outerShdw>
            </a:effectLst>
          </c:spPr>
          <c:marker>
            <c:symbol val="none"/>
          </c:marker>
          <c:val>
            <c:numRef>
              <c:f>_ChartData!$C$151:$C$166</c:f>
              <c:numCache>
                <c:formatCode>General</c:formatCode>
                <c:ptCount val="16"/>
                <c:pt idx="0">
                  <c:v>0</c:v>
                </c:pt>
                <c:pt idx="1">
                  <c:v>0</c:v>
                </c:pt>
                <c:pt idx="2">
                  <c:v>0</c:v>
                </c:pt>
                <c:pt idx="3">
                  <c:v>0</c:v>
                </c:pt>
                <c:pt idx="4">
                  <c:v>0</c:v>
                </c:pt>
                <c:pt idx="5">
                  <c:v>0</c:v>
                </c:pt>
                <c:pt idx="6">
                  <c:v>0</c:v>
                </c:pt>
                <c:pt idx="7">
                  <c:v>11</c:v>
                </c:pt>
                <c:pt idx="8">
                  <c:v>39</c:v>
                </c:pt>
                <c:pt idx="9">
                  <c:v>50</c:v>
                </c:pt>
                <c:pt idx="10">
                  <c:v>50</c:v>
                </c:pt>
                <c:pt idx="11">
                  <c:v>50</c:v>
                </c:pt>
                <c:pt idx="12">
                  <c:v>50</c:v>
                </c:pt>
                <c:pt idx="13">
                  <c:v>50</c:v>
                </c:pt>
                <c:pt idx="14">
                  <c:v>50</c:v>
                </c:pt>
                <c:pt idx="15">
                  <c:v>50</c:v>
                </c:pt>
              </c:numCache>
            </c:numRef>
          </c:val>
          <c:smooth val="1"/>
          <c:extLst>
            <c:ext xmlns:c16="http://schemas.microsoft.com/office/drawing/2014/chart" uri="{C3380CC4-5D6E-409C-BE32-E72D297353CC}">
              <c16:uniqueId val="{00000001-630A-41FF-8528-97EE124B5FCE}"/>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
        <c:crosses val="autoZero"/>
        <c:crossBetween val="between"/>
      </c:valAx>
      <c:valAx>
        <c:axId val="2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Cumulative</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Cross-Process Flow</a:t>
            </a:r>
          </a:p>
        </c:rich>
      </c:tx>
      <c:overlay val="1"/>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1"/>
        <c:ser>
          <c:idx val="0"/>
          <c:order val="0"/>
          <c:tx>
            <c:strRef>
              <c:f>_ChartData!$B$168</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7E71-48B1-B3B1-C3A0BB974E18}"/>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zh-CN"/>
              </a:p>
            </c:txPr>
            <c:dLblPos val="out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_ChartData!$A$169</c:f>
              <c:strCache>
                <c:ptCount val="1"/>
                <c:pt idx="0">
                  <c:v>Changes→Incidents</c:v>
                </c:pt>
              </c:strCache>
            </c:strRef>
          </c:cat>
          <c:val>
            <c:numRef>
              <c:f>_ChartData!$B$169</c:f>
              <c:numCache>
                <c:formatCode>General</c:formatCode>
                <c:ptCount val="1"/>
                <c:pt idx="0">
                  <c:v>9</c:v>
                </c:pt>
              </c:numCache>
            </c:numRef>
          </c:val>
          <c:extLst>
            <c:ext xmlns:c16="http://schemas.microsoft.com/office/drawing/2014/chart" uri="{C3380CC4-5D6E-409C-BE32-E72D297353CC}">
              <c16:uniqueId val="{00000002-7E71-48B1-B3B1-C3A0BB974E18}"/>
            </c:ext>
          </c:extLst>
        </c:ser>
        <c:dLbls>
          <c:dLblPos val="outEnd"/>
          <c:showLegendKey val="1"/>
          <c:showVal val="1"/>
          <c:showCatName val="0"/>
          <c:showSerName val="1"/>
          <c:showPercent val="0"/>
          <c:showBubbleSize val="1"/>
        </c:dLbls>
        <c:gapWidth val="444"/>
        <c:overlap val="-90"/>
        <c:axId val="10"/>
        <c:axId val="100"/>
      </c:barChart>
      <c:catAx>
        <c:axId val="1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Personnel Workload</a:t>
            </a:r>
          </a:p>
        </c:rich>
      </c:tx>
      <c:layout>
        <c:manualLayout>
          <c:xMode val="edge"/>
          <c:yMode val="edge"/>
          <c:x val="0.37729212962962971"/>
          <c:y val="2.9398148148148148E-3"/>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zh-CN"/>
        </a:p>
      </c:txPr>
    </c:title>
    <c:autoTitleDeleted val="0"/>
    <c:plotArea>
      <c:layout/>
      <c:barChart>
        <c:barDir val="bar"/>
        <c:grouping val="clustered"/>
        <c:varyColors val="1"/>
        <c:ser>
          <c:idx val="0"/>
          <c:order val="0"/>
          <c:tx>
            <c:strRef>
              <c:f>_ChartData!$B$171</c:f>
              <c:strCache>
                <c:ptCount val="1"/>
                <c:pt idx="0">
                  <c:v>Count</c:v>
                </c:pt>
              </c:strCache>
            </c:strRef>
          </c:tx>
          <c:invertIfNegative val="1"/>
          <c:dPt>
            <c:idx val="0"/>
            <c:invertIfNegative val="1"/>
            <c:bubble3D val="0"/>
            <c:spPr>
              <a:solidFill>
                <a:schemeClr val="accent1">
                  <a:alpha val="85000"/>
                </a:schemeClr>
              </a:solidFill>
              <a:ln w="9525" cap="flat" cmpd="sng" algn="ctr">
                <a:solidFill>
                  <a:schemeClr val="lt1">
                    <a:alpha val="50000"/>
                  </a:schemeClr>
                </a:solidFill>
                <a:round/>
              </a:ln>
              <a:effectLst/>
            </c:spPr>
          </c:dPt>
          <c:dPt>
            <c:idx val="1"/>
            <c:invertIfNegative val="1"/>
            <c:bubble3D val="0"/>
            <c:spPr>
              <a:solidFill>
                <a:schemeClr val="accent2">
                  <a:alpha val="85000"/>
                </a:schemeClr>
              </a:solidFill>
              <a:ln w="9525" cap="flat" cmpd="sng" algn="ctr">
                <a:solidFill>
                  <a:schemeClr val="lt1">
                    <a:alpha val="50000"/>
                  </a:schemeClr>
                </a:solidFill>
                <a:round/>
              </a:ln>
              <a:effectLst/>
            </c:spPr>
          </c:dPt>
          <c:dPt>
            <c:idx val="2"/>
            <c:invertIfNegative val="1"/>
            <c:bubble3D val="0"/>
            <c:spPr>
              <a:solidFill>
                <a:schemeClr val="accent3">
                  <a:alpha val="85000"/>
                </a:schemeClr>
              </a:solidFill>
              <a:ln w="9525" cap="flat" cmpd="sng" algn="ctr">
                <a:solidFill>
                  <a:schemeClr val="lt1">
                    <a:alpha val="50000"/>
                  </a:schemeClr>
                </a:solidFill>
                <a:round/>
              </a:ln>
              <a:effectLst/>
            </c:spPr>
          </c:dPt>
          <c:dPt>
            <c:idx val="3"/>
            <c:invertIfNegative val="1"/>
            <c:bubble3D val="0"/>
            <c:spPr>
              <a:solidFill>
                <a:schemeClr val="accent4">
                  <a:alpha val="85000"/>
                </a:schemeClr>
              </a:solidFill>
              <a:ln w="9525" cap="flat" cmpd="sng" algn="ctr">
                <a:solidFill>
                  <a:schemeClr val="lt1">
                    <a:alpha val="50000"/>
                  </a:schemeClr>
                </a:solidFill>
                <a:round/>
              </a:ln>
              <a:effectLst/>
            </c:spPr>
          </c:dPt>
          <c:dPt>
            <c:idx val="4"/>
            <c:invertIfNegative val="1"/>
            <c:bubble3D val="0"/>
            <c:spPr>
              <a:solidFill>
                <a:schemeClr val="accent5">
                  <a:alpha val="85000"/>
                </a:schemeClr>
              </a:solidFill>
              <a:ln w="9525" cap="flat" cmpd="sng" algn="ctr">
                <a:solidFill>
                  <a:schemeClr val="lt1">
                    <a:alpha val="50000"/>
                  </a:schemeClr>
                </a:solidFill>
                <a:round/>
              </a:ln>
              <a:effectLst/>
            </c:spPr>
          </c:dPt>
          <c:dPt>
            <c:idx val="5"/>
            <c:invertIfNegative val="1"/>
            <c:bubble3D val="0"/>
            <c:spPr>
              <a:solidFill>
                <a:schemeClr val="accent6">
                  <a:alpha val="85000"/>
                </a:schemeClr>
              </a:solidFill>
              <a:ln w="9525" cap="flat" cmpd="sng" algn="ctr">
                <a:solidFill>
                  <a:schemeClr val="lt1">
                    <a:alpha val="50000"/>
                  </a:schemeClr>
                </a:solidFill>
                <a:round/>
              </a:ln>
              <a:effectLst/>
            </c:spPr>
          </c:dPt>
          <c:dPt>
            <c:idx val="6"/>
            <c:invertIfNegative val="1"/>
            <c:bubble3D val="0"/>
            <c:spPr>
              <a:solidFill>
                <a:schemeClr val="accent1">
                  <a:lumMod val="60000"/>
                  <a:alpha val="85000"/>
                </a:schemeClr>
              </a:solidFill>
              <a:ln w="9525" cap="flat" cmpd="sng" algn="ctr">
                <a:solidFill>
                  <a:schemeClr val="lt1">
                    <a:alpha val="50000"/>
                  </a:schemeClr>
                </a:solidFill>
                <a:round/>
              </a:ln>
              <a:effectLst/>
            </c:spPr>
          </c:dPt>
          <c:dPt>
            <c:idx val="7"/>
            <c:invertIfNegative val="1"/>
            <c:bubble3D val="0"/>
            <c:spPr>
              <a:solidFill>
                <a:schemeClr val="accent2">
                  <a:lumMod val="60000"/>
                  <a:alpha val="85000"/>
                </a:schemeClr>
              </a:solidFill>
              <a:ln w="9525" cap="flat" cmpd="sng" algn="ctr">
                <a:solidFill>
                  <a:schemeClr val="lt1">
                    <a:alpha val="50000"/>
                  </a:schemeClr>
                </a:solidFill>
                <a:round/>
              </a:ln>
              <a:effectLst/>
            </c:spPr>
          </c:dPt>
          <c:dPt>
            <c:idx val="8"/>
            <c:invertIfNegative val="1"/>
            <c:bubble3D val="0"/>
            <c:spPr>
              <a:solidFill>
                <a:schemeClr val="accent3">
                  <a:lumMod val="60000"/>
                  <a:alpha val="85000"/>
                </a:schemeClr>
              </a:solidFill>
              <a:ln w="9525" cap="flat" cmpd="sng" algn="ctr">
                <a:solidFill>
                  <a:schemeClr val="lt1">
                    <a:alpha val="50000"/>
                  </a:schemeClr>
                </a:solidFill>
                <a:round/>
              </a:ln>
              <a:effectLst/>
            </c:spPr>
          </c:dPt>
          <c:dPt>
            <c:idx val="9"/>
            <c:invertIfNegative val="1"/>
            <c:bubble3D val="0"/>
            <c:spPr>
              <a:solidFill>
                <a:schemeClr val="accent4">
                  <a:lumMod val="60000"/>
                  <a:alpha val="85000"/>
                </a:schemeClr>
              </a:solidFill>
              <a:ln w="9525" cap="flat" cmpd="sng" algn="ctr">
                <a:solidFill>
                  <a:schemeClr val="lt1">
                    <a:alpha val="50000"/>
                  </a:schemeClr>
                </a:solidFill>
                <a:round/>
              </a:ln>
              <a:effectLst/>
            </c:spPr>
          </c:dPt>
          <c:dPt>
            <c:idx val="10"/>
            <c:invertIfNegative val="1"/>
            <c:bubble3D val="0"/>
            <c:spPr>
              <a:solidFill>
                <a:schemeClr val="accent5">
                  <a:lumMod val="60000"/>
                  <a:alpha val="85000"/>
                </a:schemeClr>
              </a:solidFill>
              <a:ln w="9525" cap="flat" cmpd="sng" algn="ctr">
                <a:solidFill>
                  <a:schemeClr val="lt1">
                    <a:alpha val="50000"/>
                  </a:schemeClr>
                </a:solidFill>
                <a:round/>
              </a:ln>
              <a:effectLst/>
            </c:spPr>
          </c:dPt>
          <c:dPt>
            <c:idx val="11"/>
            <c:invertIfNegative val="1"/>
            <c:bubble3D val="0"/>
            <c:spPr>
              <a:solidFill>
                <a:schemeClr val="accent6">
                  <a:lumMod val="60000"/>
                  <a:alpha val="85000"/>
                </a:schemeClr>
              </a:solidFill>
              <a:ln w="9525" cap="flat" cmpd="sng" algn="ctr">
                <a:solidFill>
                  <a:schemeClr val="lt1">
                    <a:alpha val="50000"/>
                  </a:schemeClr>
                </a:solidFill>
                <a:round/>
              </a:ln>
              <a:effectLst/>
            </c:spPr>
          </c:dPt>
          <c:dPt>
            <c:idx val="12"/>
            <c:invertIfNegative val="1"/>
            <c:bubble3D val="0"/>
            <c:spPr>
              <a:solidFill>
                <a:schemeClr val="accent1">
                  <a:lumMod val="80000"/>
                  <a:lumOff val="20000"/>
                  <a:alpha val="85000"/>
                </a:schemeClr>
              </a:solidFill>
              <a:ln w="9525" cap="flat" cmpd="sng" algn="ctr">
                <a:solidFill>
                  <a:schemeClr val="lt1">
                    <a:alpha val="50000"/>
                  </a:schemeClr>
                </a:solidFill>
                <a:round/>
              </a:ln>
              <a:effectLst/>
            </c:spPr>
          </c:dPt>
          <c:dPt>
            <c:idx val="13"/>
            <c:invertIfNegative val="1"/>
            <c:bubble3D val="0"/>
            <c:spPr>
              <a:solidFill>
                <a:schemeClr val="accent2">
                  <a:lumMod val="80000"/>
                  <a:lumOff val="20000"/>
                  <a:alpha val="85000"/>
                </a:schemeClr>
              </a:solidFill>
              <a:ln w="9525" cap="flat" cmpd="sng" algn="ctr">
                <a:solidFill>
                  <a:schemeClr val="lt1">
                    <a:alpha val="50000"/>
                  </a:schemeClr>
                </a:solidFill>
                <a:round/>
              </a:ln>
              <a:effectLst/>
            </c:spPr>
          </c:dPt>
          <c:dPt>
            <c:idx val="14"/>
            <c:invertIfNegative val="1"/>
            <c:bubble3D val="0"/>
            <c:spPr>
              <a:solidFill>
                <a:schemeClr val="accent3">
                  <a:lumMod val="80000"/>
                  <a:lumOff val="20000"/>
                  <a:alpha val="85000"/>
                </a:schemeClr>
              </a:solidFill>
              <a:ln w="9525" cap="flat" cmpd="sng" algn="ctr">
                <a:solidFill>
                  <a:schemeClr val="lt1">
                    <a:alpha val="50000"/>
                  </a:schemeClr>
                </a:solidFill>
                <a:round/>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in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_ChartData!$A$172:$A$186</c:f>
              <c:strCache>
                <c:ptCount val="15"/>
                <c:pt idx="0">
                  <c:v>Jessica Smith</c:v>
                </c:pt>
                <c:pt idx="1">
                  <c:v>Richard Smith</c:v>
                </c:pt>
                <c:pt idx="2">
                  <c:v>Joseph Smith</c:v>
                </c:pt>
                <c:pt idx="3">
                  <c:v>Thomas Smith</c:v>
                </c:pt>
                <c:pt idx="4">
                  <c:v>Michael Smith</c:v>
                </c:pt>
                <c:pt idx="5">
                  <c:v>James Smith</c:v>
                </c:pt>
                <c:pt idx="6">
                  <c:v>Christopher Smith</c:v>
                </c:pt>
                <c:pt idx="7">
                  <c:v>Elizabeth Smith</c:v>
                </c:pt>
                <c:pt idx="8">
                  <c:v>Charles Smith</c:v>
                </c:pt>
                <c:pt idx="9">
                  <c:v>Nancy Smith</c:v>
                </c:pt>
                <c:pt idx="10">
                  <c:v>Sarah Smith</c:v>
                </c:pt>
                <c:pt idx="11">
                  <c:v>Karen Smith</c:v>
                </c:pt>
                <c:pt idx="12">
                  <c:v>William Smith</c:v>
                </c:pt>
                <c:pt idx="13">
                  <c:v>Patricia Smith</c:v>
                </c:pt>
                <c:pt idx="14">
                  <c:v>Daniel Smith</c:v>
                </c:pt>
              </c:strCache>
            </c:strRef>
          </c:cat>
          <c:val>
            <c:numRef>
              <c:f>_ChartData!$B$172:$B$186</c:f>
              <c:numCache>
                <c:formatCode>General</c:formatCode>
                <c:ptCount val="15"/>
                <c:pt idx="0">
                  <c:v>414</c:v>
                </c:pt>
                <c:pt idx="1">
                  <c:v>395</c:v>
                </c:pt>
                <c:pt idx="2">
                  <c:v>393</c:v>
                </c:pt>
                <c:pt idx="3">
                  <c:v>389</c:v>
                </c:pt>
                <c:pt idx="4">
                  <c:v>385</c:v>
                </c:pt>
                <c:pt idx="5">
                  <c:v>385</c:v>
                </c:pt>
                <c:pt idx="6">
                  <c:v>384</c:v>
                </c:pt>
                <c:pt idx="7">
                  <c:v>381</c:v>
                </c:pt>
                <c:pt idx="8">
                  <c:v>381</c:v>
                </c:pt>
                <c:pt idx="9">
                  <c:v>380</c:v>
                </c:pt>
                <c:pt idx="10">
                  <c:v>379</c:v>
                </c:pt>
                <c:pt idx="11">
                  <c:v>379</c:v>
                </c:pt>
                <c:pt idx="12">
                  <c:v>377</c:v>
                </c:pt>
                <c:pt idx="13">
                  <c:v>376</c:v>
                </c:pt>
                <c:pt idx="14">
                  <c:v>375</c:v>
                </c:pt>
              </c:numCache>
            </c:numRef>
          </c:val>
          <c:extLst>
            <c:ext xmlns:c16="http://schemas.microsoft.com/office/drawing/2014/chart" uri="{C3380CC4-5D6E-409C-BE32-E72D297353CC}">
              <c16:uniqueId val="{00000000-DD36-4D1A-9BCF-B0D7716E40DD}"/>
            </c:ext>
          </c:extLst>
        </c:ser>
        <c:dLbls>
          <c:dLblPos val="inEnd"/>
          <c:showLegendKey val="1"/>
          <c:showVal val="1"/>
          <c:showCatName val="0"/>
          <c:showSerName val="1"/>
          <c:showPercent val="0"/>
          <c:showBubbleSize val="1"/>
        </c:dLbls>
        <c:gapWidth val="65"/>
        <c:axId val="10"/>
        <c:axId val="100"/>
      </c:barChart>
      <c:catAx>
        <c:axId val="1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Person</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zh-CN"/>
          </a:p>
        </c:txPr>
        <c:crossAx val="10"/>
        <c:crosses val="autoZero"/>
        <c:crossBetween val="between"/>
      </c:valAx>
      <c:spPr>
        <a:noFill/>
        <a:ln>
          <a:noFill/>
        </a:ln>
        <a:effectLst/>
      </c:spPr>
    </c:plotArea>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Top 10 Personnel</a:t>
            </a:r>
          </a:p>
        </c:rich>
      </c:tx>
      <c:layout>
        <c:manualLayout>
          <c:xMode val="edge"/>
          <c:yMode val="edge"/>
          <c:x val="0.40887546296296301"/>
          <c:y val="0"/>
        </c:manualLayout>
      </c:layout>
      <c:overlay val="1"/>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zh-CN"/>
        </a:p>
      </c:txPr>
    </c:title>
    <c:autoTitleDeleted val="0"/>
    <c:plotArea>
      <c:layout/>
      <c:barChart>
        <c:barDir val="bar"/>
        <c:grouping val="clustered"/>
        <c:varyColors val="1"/>
        <c:ser>
          <c:idx val="0"/>
          <c:order val="0"/>
          <c:tx>
            <c:strRef>
              <c:f>_ChartData!$B$188</c:f>
              <c:strCache>
                <c:ptCount val="1"/>
                <c:pt idx="0">
                  <c:v>Count</c:v>
                </c:pt>
              </c:strCache>
            </c:strRef>
          </c:tx>
          <c:invertIfNegative val="1"/>
          <c:dPt>
            <c:idx val="0"/>
            <c:invertIfNegative val="1"/>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ADE5-409E-B9BD-9C7AD78A1F9F}"/>
              </c:ext>
            </c:extLst>
          </c:dPt>
          <c:dPt>
            <c:idx val="1"/>
            <c:invertIfNegative val="1"/>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ADE5-409E-B9BD-9C7AD78A1F9F}"/>
              </c:ext>
            </c:extLst>
          </c:dPt>
          <c:dPt>
            <c:idx val="2"/>
            <c:invertIfNegative val="1"/>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ADE5-409E-B9BD-9C7AD78A1F9F}"/>
              </c:ext>
            </c:extLst>
          </c:dPt>
          <c:dPt>
            <c:idx val="3"/>
            <c:invertIfNegative val="1"/>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ADE5-409E-B9BD-9C7AD78A1F9F}"/>
              </c:ext>
            </c:extLst>
          </c:dPt>
          <c:dPt>
            <c:idx val="4"/>
            <c:invertIfNegative val="1"/>
            <c:bubble3D val="0"/>
            <c:spPr>
              <a:solidFill>
                <a:schemeClr val="accent5">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ADE5-409E-B9BD-9C7AD78A1F9F}"/>
              </c:ext>
            </c:extLst>
          </c:dPt>
          <c:dPt>
            <c:idx val="5"/>
            <c:invertIfNegative val="1"/>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ADE5-409E-B9BD-9C7AD78A1F9F}"/>
              </c:ext>
            </c:extLst>
          </c:dPt>
          <c:dPt>
            <c:idx val="6"/>
            <c:invertIfNegative val="1"/>
            <c:bubble3D val="0"/>
            <c:spPr>
              <a:solidFill>
                <a:schemeClr val="accent1">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ADE5-409E-B9BD-9C7AD78A1F9F}"/>
              </c:ext>
            </c:extLst>
          </c:dPt>
          <c:dPt>
            <c:idx val="7"/>
            <c:invertIfNegative val="1"/>
            <c:bubble3D val="0"/>
            <c:spPr>
              <a:solidFill>
                <a:schemeClr val="accent2">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ADE5-409E-B9BD-9C7AD78A1F9F}"/>
              </c:ext>
            </c:extLst>
          </c:dPt>
          <c:dPt>
            <c:idx val="8"/>
            <c:invertIfNegative val="1"/>
            <c:bubble3D val="0"/>
            <c:spPr>
              <a:solidFill>
                <a:schemeClr val="accent3">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ADE5-409E-B9BD-9C7AD78A1F9F}"/>
              </c:ext>
            </c:extLst>
          </c:dPt>
          <c:dPt>
            <c:idx val="9"/>
            <c:invertIfNegative val="1"/>
            <c:bubble3D val="0"/>
            <c:spPr>
              <a:solidFill>
                <a:schemeClr val="accent4">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ADE5-409E-B9BD-9C7AD78A1F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in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_ChartData!$A$189:$A$198</c:f>
              <c:strCache>
                <c:ptCount val="10"/>
                <c:pt idx="0">
                  <c:v>Jessica Smith</c:v>
                </c:pt>
                <c:pt idx="1">
                  <c:v>Richard Smith</c:v>
                </c:pt>
                <c:pt idx="2">
                  <c:v>Joseph Smith</c:v>
                </c:pt>
                <c:pt idx="3">
                  <c:v>Thomas Smith</c:v>
                </c:pt>
                <c:pt idx="4">
                  <c:v>Michael Smith</c:v>
                </c:pt>
                <c:pt idx="5">
                  <c:v>James Smith</c:v>
                </c:pt>
                <c:pt idx="6">
                  <c:v>Christopher Smith</c:v>
                </c:pt>
                <c:pt idx="7">
                  <c:v>Elizabeth Smith</c:v>
                </c:pt>
                <c:pt idx="8">
                  <c:v>Charles Smith</c:v>
                </c:pt>
                <c:pt idx="9">
                  <c:v>Nancy Smith</c:v>
                </c:pt>
              </c:strCache>
            </c:strRef>
          </c:cat>
          <c:val>
            <c:numRef>
              <c:f>_ChartData!$B$189:$B$198</c:f>
              <c:numCache>
                <c:formatCode>General</c:formatCode>
                <c:ptCount val="10"/>
                <c:pt idx="0">
                  <c:v>414</c:v>
                </c:pt>
                <c:pt idx="1">
                  <c:v>395</c:v>
                </c:pt>
                <c:pt idx="2">
                  <c:v>393</c:v>
                </c:pt>
                <c:pt idx="3">
                  <c:v>389</c:v>
                </c:pt>
                <c:pt idx="4">
                  <c:v>385</c:v>
                </c:pt>
                <c:pt idx="5">
                  <c:v>385</c:v>
                </c:pt>
                <c:pt idx="6">
                  <c:v>384</c:v>
                </c:pt>
                <c:pt idx="7">
                  <c:v>381</c:v>
                </c:pt>
                <c:pt idx="8">
                  <c:v>381</c:v>
                </c:pt>
                <c:pt idx="9">
                  <c:v>380</c:v>
                </c:pt>
              </c:numCache>
            </c:numRef>
          </c:val>
          <c:extLst>
            <c:ext xmlns:c16="http://schemas.microsoft.com/office/drawing/2014/chart" uri="{C3380CC4-5D6E-409C-BE32-E72D297353CC}">
              <c16:uniqueId val="{00000014-ADE5-409E-B9BD-9C7AD78A1F9F}"/>
            </c:ext>
          </c:extLst>
        </c:ser>
        <c:dLbls>
          <c:dLblPos val="inEnd"/>
          <c:showLegendKey val="1"/>
          <c:showVal val="1"/>
          <c:showCatName val="0"/>
          <c:showSerName val="1"/>
          <c:showPercent val="0"/>
          <c:showBubbleSize val="1"/>
        </c:dLbls>
        <c:gapWidth val="65"/>
        <c:axId val="10"/>
        <c:axId val="100"/>
      </c:barChart>
      <c:catAx>
        <c:axId val="10"/>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Person</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zh-CN"/>
          </a:p>
        </c:txPr>
        <c:crossAx val="1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zh-CN"/>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Four Process Trend</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zh-CN"/>
        </a:p>
      </c:txPr>
    </c:title>
    <c:autoTitleDeleted val="0"/>
    <c:plotArea>
      <c:layout/>
      <c:lineChart>
        <c:grouping val="standard"/>
        <c:varyColors val="1"/>
        <c:ser>
          <c:idx val="0"/>
          <c:order val="0"/>
          <c:tx>
            <c:strRef>
              <c:f>_ChartData!$B$200</c:f>
              <c:strCache>
                <c:ptCount val="1"/>
                <c:pt idx="0">
                  <c:v>Incidents</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_ChartData!$A$201:$A$216</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_ChartData!$B$201:$B$216</c:f>
              <c:numCache>
                <c:formatCode>General</c:formatCode>
                <c:ptCount val="16"/>
                <c:pt idx="0">
                  <c:v>195</c:v>
                </c:pt>
                <c:pt idx="1">
                  <c:v>725</c:v>
                </c:pt>
                <c:pt idx="2">
                  <c:v>924</c:v>
                </c:pt>
                <c:pt idx="3">
                  <c:v>1007</c:v>
                </c:pt>
                <c:pt idx="4">
                  <c:v>712</c:v>
                </c:pt>
                <c:pt idx="5">
                  <c:v>621</c:v>
                </c:pt>
                <c:pt idx="6">
                  <c:v>542</c:v>
                </c:pt>
                <c:pt idx="7">
                  <c:v>441</c:v>
                </c:pt>
                <c:pt idx="8">
                  <c:v>432</c:v>
                </c:pt>
                <c:pt idx="9">
                  <c:v>511</c:v>
                </c:pt>
                <c:pt idx="10">
                  <c:v>410</c:v>
                </c:pt>
                <c:pt idx="11">
                  <c:v>599</c:v>
                </c:pt>
                <c:pt idx="12">
                  <c:v>491</c:v>
                </c:pt>
                <c:pt idx="13">
                  <c:v>652</c:v>
                </c:pt>
                <c:pt idx="14">
                  <c:v>641</c:v>
                </c:pt>
                <c:pt idx="15">
                  <c:v>74</c:v>
                </c:pt>
              </c:numCache>
            </c:numRef>
          </c:val>
          <c:smooth val="1"/>
          <c:extLst>
            <c:ext xmlns:c16="http://schemas.microsoft.com/office/drawing/2014/chart" uri="{C3380CC4-5D6E-409C-BE32-E72D297353CC}">
              <c16:uniqueId val="{00000000-2946-469E-BE07-AC4250B8A388}"/>
            </c:ext>
          </c:extLst>
        </c:ser>
        <c:ser>
          <c:idx val="1"/>
          <c:order val="1"/>
          <c:tx>
            <c:strRef>
              <c:f>_ChartData!$C$200</c:f>
              <c:strCache>
                <c:ptCount val="1"/>
                <c:pt idx="0">
                  <c:v>Changes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_ChartData!$A$201:$A$216</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_ChartData!$C$201:$C$216</c:f>
              <c:numCache>
                <c:formatCode>General</c:formatCode>
                <c:ptCount val="16"/>
                <c:pt idx="0">
                  <c:v>0</c:v>
                </c:pt>
                <c:pt idx="1">
                  <c:v>0</c:v>
                </c:pt>
                <c:pt idx="2">
                  <c:v>0</c:v>
                </c:pt>
                <c:pt idx="3">
                  <c:v>0</c:v>
                </c:pt>
                <c:pt idx="4">
                  <c:v>0</c:v>
                </c:pt>
                <c:pt idx="5">
                  <c:v>0</c:v>
                </c:pt>
                <c:pt idx="6">
                  <c:v>0</c:v>
                </c:pt>
                <c:pt idx="7">
                  <c:v>7</c:v>
                </c:pt>
                <c:pt idx="8">
                  <c:v>32</c:v>
                </c:pt>
                <c:pt idx="9">
                  <c:v>11</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1-2946-469E-BE07-AC4250B8A388}"/>
            </c:ext>
          </c:extLst>
        </c:ser>
        <c:ser>
          <c:idx val="2"/>
          <c:order val="2"/>
          <c:tx>
            <c:strRef>
              <c:f>_ChartData!$D$200</c:f>
              <c:strCache>
                <c:ptCount val="1"/>
                <c:pt idx="0">
                  <c:v>Requests</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_ChartData!$A$201:$A$216</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_ChartData!$D$201:$D$216</c:f>
              <c:numCache>
                <c:formatCode>General</c:formatCode>
                <c:ptCount val="16"/>
                <c:pt idx="0">
                  <c:v>0</c:v>
                </c:pt>
                <c:pt idx="1">
                  <c:v>0</c:v>
                </c:pt>
                <c:pt idx="2">
                  <c:v>0</c:v>
                </c:pt>
                <c:pt idx="3">
                  <c:v>0</c:v>
                </c:pt>
                <c:pt idx="4">
                  <c:v>0</c:v>
                </c:pt>
                <c:pt idx="5">
                  <c:v>0</c:v>
                </c:pt>
                <c:pt idx="6">
                  <c:v>0</c:v>
                </c:pt>
                <c:pt idx="7">
                  <c:v>9</c:v>
                </c:pt>
                <c:pt idx="8">
                  <c:v>30</c:v>
                </c:pt>
                <c:pt idx="9">
                  <c:v>11</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2-2946-469E-BE07-AC4250B8A388}"/>
            </c:ext>
          </c:extLst>
        </c:ser>
        <c:ser>
          <c:idx val="3"/>
          <c:order val="3"/>
          <c:tx>
            <c:strRef>
              <c:f>_ChartData!$E$200</c:f>
              <c:strCache>
                <c:ptCount val="1"/>
                <c:pt idx="0">
                  <c:v>Problems</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_ChartData!$A$201:$A$216</c:f>
              <c:strCache>
                <c:ptCount val="16"/>
                <c:pt idx="0">
                  <c:v>2024-04</c:v>
                </c:pt>
                <c:pt idx="1">
                  <c:v>2024-05</c:v>
                </c:pt>
                <c:pt idx="2">
                  <c:v>2024-06</c:v>
                </c:pt>
                <c:pt idx="3">
                  <c:v>2024-07</c:v>
                </c:pt>
                <c:pt idx="4">
                  <c:v>2024-08</c:v>
                </c:pt>
                <c:pt idx="5">
                  <c:v>2024-09</c:v>
                </c:pt>
                <c:pt idx="6">
                  <c:v>2024-10</c:v>
                </c:pt>
                <c:pt idx="7">
                  <c:v>2024-11</c:v>
                </c:pt>
                <c:pt idx="8">
                  <c:v>2024-12</c:v>
                </c:pt>
                <c:pt idx="9">
                  <c:v>2025-01</c:v>
                </c:pt>
                <c:pt idx="10">
                  <c:v>2025-02</c:v>
                </c:pt>
                <c:pt idx="11">
                  <c:v>2025-03</c:v>
                </c:pt>
                <c:pt idx="12">
                  <c:v>2025-04</c:v>
                </c:pt>
                <c:pt idx="13">
                  <c:v>2025-05</c:v>
                </c:pt>
                <c:pt idx="14">
                  <c:v>2025-06</c:v>
                </c:pt>
                <c:pt idx="15">
                  <c:v>2025-07</c:v>
                </c:pt>
              </c:strCache>
            </c:strRef>
          </c:cat>
          <c:val>
            <c:numRef>
              <c:f>_ChartData!$E$201:$E$216</c:f>
              <c:numCache>
                <c:formatCode>General</c:formatCode>
                <c:ptCount val="16"/>
                <c:pt idx="0">
                  <c:v>0</c:v>
                </c:pt>
                <c:pt idx="1">
                  <c:v>0</c:v>
                </c:pt>
                <c:pt idx="2">
                  <c:v>0</c:v>
                </c:pt>
                <c:pt idx="3">
                  <c:v>0</c:v>
                </c:pt>
                <c:pt idx="4">
                  <c:v>0</c:v>
                </c:pt>
                <c:pt idx="5">
                  <c:v>0</c:v>
                </c:pt>
                <c:pt idx="6">
                  <c:v>0</c:v>
                </c:pt>
                <c:pt idx="7">
                  <c:v>11</c:v>
                </c:pt>
                <c:pt idx="8">
                  <c:v>28</c:v>
                </c:pt>
                <c:pt idx="9">
                  <c:v>11</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03-2946-469E-BE07-AC4250B8A38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crossAx val="1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zh-CN"/>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Incidents by Day of Week</a:t>
            </a:r>
          </a:p>
        </c:rich>
      </c:tx>
      <c:overlay val="1"/>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zh-CN"/>
        </a:p>
      </c:txPr>
    </c:title>
    <c:autoTitleDeleted val="0"/>
    <c:plotArea>
      <c:layout/>
      <c:barChart>
        <c:barDir val="col"/>
        <c:grouping val="clustered"/>
        <c:varyColors val="1"/>
        <c:ser>
          <c:idx val="0"/>
          <c:order val="0"/>
          <c:tx>
            <c:strRef>
              <c:f>_ChartData!$B$218</c:f>
              <c:strCache>
                <c:ptCount val="1"/>
                <c:pt idx="0">
                  <c:v>Count</c:v>
                </c:pt>
              </c:strCache>
            </c:strRef>
          </c:tx>
          <c:invertIfNegative val="1"/>
          <c:dPt>
            <c:idx val="0"/>
            <c:invertIfNegative val="1"/>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3931-4856-9E8C-409A89A3F769}"/>
              </c:ext>
            </c:extLst>
          </c:dPt>
          <c:dPt>
            <c:idx val="1"/>
            <c:invertIfNegative val="1"/>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3931-4856-9E8C-409A89A3F769}"/>
              </c:ext>
            </c:extLst>
          </c:dPt>
          <c:dPt>
            <c:idx val="2"/>
            <c:invertIfNegative val="1"/>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3931-4856-9E8C-409A89A3F769}"/>
              </c:ext>
            </c:extLst>
          </c:dPt>
          <c:dPt>
            <c:idx val="3"/>
            <c:invertIfNegative val="1"/>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3931-4856-9E8C-409A89A3F769}"/>
              </c:ext>
            </c:extLst>
          </c:dPt>
          <c:dPt>
            <c:idx val="4"/>
            <c:invertIfNegative val="1"/>
            <c:bubble3D val="0"/>
            <c:spPr>
              <a:solidFill>
                <a:schemeClr val="accent5">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3931-4856-9E8C-409A89A3F769}"/>
              </c:ext>
            </c:extLst>
          </c:dPt>
          <c:dPt>
            <c:idx val="5"/>
            <c:invertIfNegative val="1"/>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3931-4856-9E8C-409A89A3F769}"/>
              </c:ext>
            </c:extLst>
          </c:dPt>
          <c:dPt>
            <c:idx val="6"/>
            <c:invertIfNegative val="1"/>
            <c:bubble3D val="0"/>
            <c:spPr>
              <a:solidFill>
                <a:schemeClr val="accent1">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3931-4856-9E8C-409A89A3F76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zh-CN"/>
              </a:p>
            </c:txPr>
            <c:dLblPos val="inEnd"/>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_ChartData!$A$219:$A$225</c:f>
              <c:strCache>
                <c:ptCount val="7"/>
                <c:pt idx="0">
                  <c:v>Monday</c:v>
                </c:pt>
                <c:pt idx="1">
                  <c:v>Tuesday</c:v>
                </c:pt>
                <c:pt idx="2">
                  <c:v>Wednesday</c:v>
                </c:pt>
                <c:pt idx="3">
                  <c:v>Thursday</c:v>
                </c:pt>
                <c:pt idx="4">
                  <c:v>Friday</c:v>
                </c:pt>
                <c:pt idx="5">
                  <c:v>Saturday</c:v>
                </c:pt>
                <c:pt idx="6">
                  <c:v>Sunday</c:v>
                </c:pt>
              </c:strCache>
            </c:strRef>
          </c:cat>
          <c:val>
            <c:numRef>
              <c:f>_ChartData!$B$219:$B$225</c:f>
              <c:numCache>
                <c:formatCode>General</c:formatCode>
                <c:ptCount val="7"/>
                <c:pt idx="0">
                  <c:v>1506</c:v>
                </c:pt>
                <c:pt idx="1">
                  <c:v>1334</c:v>
                </c:pt>
                <c:pt idx="2">
                  <c:v>1436</c:v>
                </c:pt>
                <c:pt idx="3">
                  <c:v>1321</c:v>
                </c:pt>
                <c:pt idx="4">
                  <c:v>1270</c:v>
                </c:pt>
                <c:pt idx="5">
                  <c:v>1040</c:v>
                </c:pt>
                <c:pt idx="6">
                  <c:v>1070</c:v>
                </c:pt>
              </c:numCache>
            </c:numRef>
          </c:val>
          <c:extLst>
            <c:ext xmlns:c16="http://schemas.microsoft.com/office/drawing/2014/chart" uri="{C3380CC4-5D6E-409C-BE32-E72D297353CC}">
              <c16:uniqueId val="{0000000E-3931-4856-9E8C-409A89A3F769}"/>
            </c:ext>
          </c:extLst>
        </c:ser>
        <c:dLbls>
          <c:dLblPos val="inEnd"/>
          <c:showLegendKey val="1"/>
          <c:showVal val="1"/>
          <c:showCatName val="0"/>
          <c:showSerName val="1"/>
          <c:showPercent val="0"/>
          <c:showBubbleSize val="1"/>
        </c:dLbls>
        <c:gapWidth val="65"/>
        <c:axId val="10"/>
        <c:axId val="100"/>
      </c:barChart>
      <c:catAx>
        <c:axId val="1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Day</a:t>
                </a:r>
              </a:p>
            </c:rich>
          </c:tx>
          <c:overlay val="1"/>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zh-CN"/>
            </a:p>
          </c:txPr>
        </c:title>
        <c:numFmt formatCode="General" sourceLinked="1"/>
        <c:majorTickMark val="none"/>
        <c:minorTickMark val="none"/>
        <c:tickLblPos val="nextTo"/>
        <c:crossAx val="10"/>
        <c:crosses val="autoZero"/>
        <c:crossBetween val="between"/>
      </c:valAx>
      <c:spPr>
        <a:noFill/>
        <a:ln>
          <a:noFill/>
        </a:ln>
        <a:effectLst/>
      </c:spPr>
    </c:plotArea>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zh-CN"/>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US" b="1"/>
              <a:t>Actions by Priority</a:t>
            </a:r>
          </a:p>
        </c:rich>
      </c:tx>
      <c:overlay val="1"/>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zh-CN"/>
        </a:p>
      </c:txPr>
    </c:title>
    <c:autoTitleDeleted val="0"/>
    <c:plotArea>
      <c:layout/>
      <c:pieChart>
        <c:varyColors val="1"/>
        <c:ser>
          <c:idx val="0"/>
          <c:order val="0"/>
          <c:tx>
            <c:strRef>
              <c:f>_ChartData!$B$227</c:f>
              <c:strCache>
                <c:ptCount val="1"/>
                <c:pt idx="0">
                  <c:v>Count</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4D97-4A56-90D0-EC9903EE1715}"/>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4D97-4A56-90D0-EC9903EE1715}"/>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4D97-4A56-90D0-EC9903EE17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zh-CN"/>
              </a:p>
            </c:txPr>
            <c:showLegendKey val="1"/>
            <c:showVal val="0"/>
            <c:showCatName val="1"/>
            <c:showSerName val="1"/>
            <c:showPercent val="1"/>
            <c:showBubbleSize val="1"/>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_ChartData!$A$228:$A$230</c:f>
              <c:strCache>
                <c:ptCount val="3"/>
                <c:pt idx="0">
                  <c:v>URGENT</c:v>
                </c:pt>
                <c:pt idx="1">
                  <c:v>HIGH</c:v>
                </c:pt>
                <c:pt idx="2">
                  <c:v>MEDIUM</c:v>
                </c:pt>
              </c:strCache>
            </c:strRef>
          </c:cat>
          <c:val>
            <c:numRef>
              <c:f>_ChartData!$B$228:$B$230</c:f>
              <c:numCache>
                <c:formatCode>General</c:formatCode>
                <c:ptCount val="3"/>
                <c:pt idx="0">
                  <c:v>2</c:v>
                </c:pt>
                <c:pt idx="1">
                  <c:v>1</c:v>
                </c:pt>
                <c:pt idx="2">
                  <c:v>2</c:v>
                </c:pt>
              </c:numCache>
            </c:numRef>
          </c:val>
          <c:extLst>
            <c:ext xmlns:c16="http://schemas.microsoft.com/office/drawing/2014/chart" uri="{C3380CC4-5D6E-409C-BE32-E72D297353CC}">
              <c16:uniqueId val="{00000006-4D97-4A56-90D0-EC9903EE1715}"/>
            </c:ext>
          </c:extLst>
        </c:ser>
        <c:dLbls>
          <c:showLegendKey val="1"/>
          <c:showVal val="0"/>
          <c:showCatName val="1"/>
          <c:showSerName val="1"/>
          <c:showPercent val="1"/>
          <c:showBubbleSize val="1"/>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Actions by Process</a:t>
            </a:r>
          </a:p>
        </c:rich>
      </c:tx>
      <c:overlay val="1"/>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1"/>
        <c:ser>
          <c:idx val="0"/>
          <c:order val="0"/>
          <c:tx>
            <c:strRef>
              <c:f>_ChartData!$B$232</c:f>
              <c:strCache>
                <c:ptCount val="1"/>
                <c:pt idx="0">
                  <c:v>Count</c:v>
                </c:pt>
              </c:strCache>
            </c:strRef>
          </c:tx>
          <c:invertIfNegative val="1"/>
          <c:dPt>
            <c:idx val="0"/>
            <c:invertIfNegative val="1"/>
            <c:bubble3D val="0"/>
            <c:spPr>
              <a:solidFill>
                <a:schemeClr val="accent1"/>
              </a:solidFill>
              <a:ln>
                <a:noFill/>
              </a:ln>
              <a:effectLst/>
            </c:spPr>
            <c:extLst>
              <c:ext xmlns:c16="http://schemas.microsoft.com/office/drawing/2014/chart" uri="{C3380CC4-5D6E-409C-BE32-E72D297353CC}">
                <c16:uniqueId val="{00000001-E22C-4119-97CD-9B1CBFA1A801}"/>
              </c:ext>
            </c:extLst>
          </c:dPt>
          <c:dPt>
            <c:idx val="1"/>
            <c:invertIfNegative val="1"/>
            <c:bubble3D val="0"/>
            <c:spPr>
              <a:solidFill>
                <a:schemeClr val="accent2"/>
              </a:solidFill>
              <a:ln>
                <a:noFill/>
              </a:ln>
              <a:effectLst/>
            </c:spPr>
            <c:extLst>
              <c:ext xmlns:c16="http://schemas.microsoft.com/office/drawing/2014/chart" uri="{C3380CC4-5D6E-409C-BE32-E72D297353CC}">
                <c16:uniqueId val="{00000003-E22C-4119-97CD-9B1CBFA1A801}"/>
              </c:ext>
            </c:extLst>
          </c:dPt>
          <c:dPt>
            <c:idx val="2"/>
            <c:invertIfNegative val="1"/>
            <c:bubble3D val="0"/>
            <c:spPr>
              <a:solidFill>
                <a:schemeClr val="accent3"/>
              </a:solidFill>
              <a:ln>
                <a:noFill/>
              </a:ln>
              <a:effectLst/>
            </c:spPr>
            <c:extLst>
              <c:ext xmlns:c16="http://schemas.microsoft.com/office/drawing/2014/chart" uri="{C3380CC4-5D6E-409C-BE32-E72D297353CC}">
                <c16:uniqueId val="{00000005-E22C-4119-97CD-9B1CBFA1A8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1"/>
            <c:showVal val="1"/>
            <c:showCatName val="0"/>
            <c:showSerName val="1"/>
            <c:showPercent val="0"/>
            <c:showBubbleSize val="1"/>
            <c:showLeaderLines val="0"/>
            <c:extLst>
              <c:ext xmlns:c15="http://schemas.microsoft.com/office/drawing/2012/chart" uri="{CE6537A1-D6FC-4f65-9D91-7224C49458BB}">
                <c15:showLeaderLines val="0"/>
              </c:ext>
            </c:extLst>
          </c:dLbls>
          <c:cat>
            <c:strRef>
              <c:f>_ChartData!$A$233:$A$235</c:f>
              <c:strCache>
                <c:ptCount val="3"/>
                <c:pt idx="0">
                  <c:v>incident</c:v>
                </c:pt>
                <c:pt idx="1">
                  <c:v>change</c:v>
                </c:pt>
                <c:pt idx="2">
                  <c:v>request</c:v>
                </c:pt>
              </c:strCache>
            </c:strRef>
          </c:cat>
          <c:val>
            <c:numRef>
              <c:f>_ChartData!$B$233:$B$235</c:f>
              <c:numCache>
                <c:formatCode>General</c:formatCode>
                <c:ptCount val="3"/>
                <c:pt idx="0">
                  <c:v>2</c:v>
                </c:pt>
                <c:pt idx="1">
                  <c:v>2</c:v>
                </c:pt>
                <c:pt idx="2">
                  <c:v>1</c:v>
                </c:pt>
              </c:numCache>
            </c:numRef>
          </c:val>
          <c:extLst>
            <c:ext xmlns:c16="http://schemas.microsoft.com/office/drawing/2014/chart" uri="{C3380CC4-5D6E-409C-BE32-E72D297353CC}">
              <c16:uniqueId val="{00000006-E22C-4119-97CD-9B1CBFA1A801}"/>
            </c:ext>
          </c:extLst>
        </c:ser>
        <c:dLbls>
          <c:showLegendKey val="1"/>
          <c:showVal val="1"/>
          <c:showCatName val="0"/>
          <c:showSerName val="1"/>
          <c:showPercent val="0"/>
          <c:showBubbleSize val="1"/>
        </c:dLbls>
        <c:gapWidth val="219"/>
        <c:overlap val="-27"/>
        <c:axId val="10"/>
        <c:axId val="100"/>
      </c:barChart>
      <c:catAx>
        <c:axId val="1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Process</a:t>
                </a:r>
              </a:p>
            </c:rich>
          </c:tx>
          <c:overlay val="1"/>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overlay val="1"/>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oneCellAnchor>
    <xdr:from>
      <xdr:col>0</xdr:col>
      <xdr:colOff>0</xdr:colOff>
      <xdr:row>28</xdr:row>
      <xdr:rowOff>0</xdr:rowOff>
    </xdr:from>
    <xdr:ext cx="3240000" cy="288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48</xdr:row>
      <xdr:rowOff>0</xdr:rowOff>
    </xdr:from>
    <xdr:ext cx="6480000" cy="43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35</xdr:row>
      <xdr:rowOff>0</xdr:rowOff>
    </xdr:from>
    <xdr:ext cx="6480000" cy="432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62</xdr:row>
      <xdr:rowOff>0</xdr:rowOff>
    </xdr:from>
    <xdr:ext cx="6480000" cy="432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89</xdr:row>
      <xdr:rowOff>0</xdr:rowOff>
    </xdr:from>
    <xdr:ext cx="6480000" cy="432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39</xdr:row>
      <xdr:rowOff>200024</xdr:rowOff>
    </xdr:from>
    <xdr:ext cx="3352800" cy="3114675"/>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60</xdr:row>
      <xdr:rowOff>0</xdr:rowOff>
    </xdr:from>
    <xdr:ext cx="6480000" cy="4320000"/>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20</xdr:row>
      <xdr:rowOff>0</xdr:rowOff>
    </xdr:from>
    <xdr:ext cx="6480000" cy="43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47</xdr:row>
      <xdr:rowOff>0</xdr:rowOff>
    </xdr:from>
    <xdr:ext cx="6480000" cy="43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74</xdr:row>
      <xdr:rowOff>0</xdr:rowOff>
    </xdr:from>
    <xdr:ext cx="6480000" cy="4320000"/>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21</xdr:row>
      <xdr:rowOff>0</xdr:rowOff>
    </xdr:from>
    <xdr:ext cx="6480000" cy="432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48</xdr:row>
      <xdr:rowOff>0</xdr:rowOff>
    </xdr:from>
    <xdr:ext cx="6480000" cy="432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75</xdr:row>
      <xdr:rowOff>0</xdr:rowOff>
    </xdr:from>
    <xdr:ext cx="6480000" cy="4320000"/>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0</xdr:colOff>
      <xdr:row>102</xdr:row>
      <xdr:rowOff>0</xdr:rowOff>
    </xdr:from>
    <xdr:ext cx="6480000" cy="4320000"/>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22</xdr:row>
      <xdr:rowOff>0</xdr:rowOff>
    </xdr:from>
    <xdr:ext cx="6480000" cy="43200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49</xdr:row>
      <xdr:rowOff>0</xdr:rowOff>
    </xdr:from>
    <xdr:ext cx="6480000" cy="43200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76</xdr:row>
      <xdr:rowOff>0</xdr:rowOff>
    </xdr:from>
    <xdr:ext cx="6480000" cy="4320000"/>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18</xdr:row>
      <xdr:rowOff>0</xdr:rowOff>
    </xdr:from>
    <xdr:ext cx="6480000" cy="432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62</xdr:row>
      <xdr:rowOff>0</xdr:rowOff>
    </xdr:from>
    <xdr:ext cx="6480000" cy="4320000"/>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89</xdr:row>
      <xdr:rowOff>0</xdr:rowOff>
    </xdr:from>
    <xdr:ext cx="6480000" cy="4320000"/>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42</xdr:row>
      <xdr:rowOff>0</xdr:rowOff>
    </xdr:from>
    <xdr:ext cx="6480000" cy="432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69</xdr:row>
      <xdr:rowOff>0</xdr:rowOff>
    </xdr:from>
    <xdr:ext cx="6480000" cy="4320000"/>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25</xdr:row>
      <xdr:rowOff>0</xdr:rowOff>
    </xdr:from>
    <xdr:ext cx="6480000" cy="432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52</xdr:row>
      <xdr:rowOff>0</xdr:rowOff>
    </xdr:from>
    <xdr:ext cx="6480000" cy="432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3A5F"/>
    <pageSetUpPr fitToPage="1"/>
  </sheetPr>
  <dimension ref="A1:J99"/>
  <sheetViews>
    <sheetView topLeftCell="A79" workbookViewId="0">
      <selection activeCell="D106" sqref="D106"/>
    </sheetView>
  </sheetViews>
  <sheetFormatPr defaultRowHeight="13.5" x14ac:dyDescent="0.15"/>
  <cols>
    <col min="1" max="1" width="17.25" customWidth="1"/>
    <col min="2" max="2" width="12.25" customWidth="1"/>
    <col min="3" max="3" width="30" customWidth="1"/>
    <col min="4" max="4" width="12" customWidth="1"/>
  </cols>
  <sheetData>
    <row r="1" spans="1:10" ht="36" customHeight="1" x14ac:dyDescent="0.15">
      <c r="A1" s="9" t="s">
        <v>0</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2</v>
      </c>
      <c r="B4" s="8"/>
      <c r="C4" s="8"/>
      <c r="D4" s="8"/>
      <c r="E4" s="8"/>
      <c r="F4" s="8"/>
      <c r="G4" s="8"/>
      <c r="H4" s="8"/>
      <c r="I4" s="8"/>
      <c r="J4" s="8"/>
    </row>
    <row r="5" spans="1:10" ht="20.100000000000001" customHeight="1" x14ac:dyDescent="0.15">
      <c r="A5" s="1" t="s">
        <v>3</v>
      </c>
      <c r="B5" s="1" t="s">
        <v>4</v>
      </c>
      <c r="C5" s="1" t="s">
        <v>5</v>
      </c>
    </row>
    <row r="6" spans="1:10" ht="18" customHeight="1" x14ac:dyDescent="0.15">
      <c r="A6" s="2" t="s">
        <v>6</v>
      </c>
      <c r="B6" s="2" t="s">
        <v>7</v>
      </c>
      <c r="C6" s="2" t="s">
        <v>8</v>
      </c>
    </row>
    <row r="7" spans="1:10" ht="18" customHeight="1" x14ac:dyDescent="0.15">
      <c r="A7" s="3" t="s">
        <v>9</v>
      </c>
      <c r="B7" s="3" t="s">
        <v>10</v>
      </c>
      <c r="C7" s="3" t="s">
        <v>8</v>
      </c>
    </row>
    <row r="8" spans="1:10" ht="18" customHeight="1" x14ac:dyDescent="0.15">
      <c r="A8" s="2" t="s">
        <v>11</v>
      </c>
      <c r="B8" s="2" t="s">
        <v>12</v>
      </c>
      <c r="C8" s="2"/>
    </row>
    <row r="9" spans="1:10" ht="18" customHeight="1" x14ac:dyDescent="0.15">
      <c r="A9" s="3" t="s">
        <v>13</v>
      </c>
      <c r="B9" s="3" t="s">
        <v>14</v>
      </c>
      <c r="C9" s="3" t="s">
        <v>15</v>
      </c>
    </row>
    <row r="10" spans="1:10" ht="18" customHeight="1" x14ac:dyDescent="0.15">
      <c r="A10" s="2" t="s">
        <v>16</v>
      </c>
      <c r="B10" s="2" t="s">
        <v>17</v>
      </c>
      <c r="C10" s="2"/>
    </row>
    <row r="11" spans="1:10" ht="18" customHeight="1" x14ac:dyDescent="0.15">
      <c r="A11" s="3" t="s">
        <v>18</v>
      </c>
      <c r="B11" s="3" t="s">
        <v>17</v>
      </c>
      <c r="C11" s="3" t="s">
        <v>8</v>
      </c>
    </row>
    <row r="12" spans="1:10" ht="18" customHeight="1" x14ac:dyDescent="0.15">
      <c r="A12" s="2" t="s">
        <v>19</v>
      </c>
      <c r="B12" s="2" t="s">
        <v>20</v>
      </c>
      <c r="C12" s="2"/>
    </row>
    <row r="13" spans="1:10" ht="18" customHeight="1" x14ac:dyDescent="0.15">
      <c r="A13" s="3" t="s">
        <v>21</v>
      </c>
      <c r="B13" s="3" t="s">
        <v>22</v>
      </c>
      <c r="C13" s="3" t="s">
        <v>8</v>
      </c>
    </row>
    <row r="14" spans="1:10" ht="9.9499999999999993" customHeight="1" x14ac:dyDescent="0.15"/>
    <row r="15" spans="1:10" ht="26.1" customHeight="1" x14ac:dyDescent="0.15">
      <c r="A15" s="10" t="s">
        <v>23</v>
      </c>
      <c r="B15" s="8"/>
      <c r="C15" s="8"/>
      <c r="D15" s="8"/>
      <c r="E15" s="8"/>
      <c r="F15" s="8"/>
      <c r="G15" s="8"/>
      <c r="H15" s="8"/>
      <c r="I15" s="8"/>
      <c r="J15" s="8"/>
    </row>
    <row r="16" spans="1:10" x14ac:dyDescent="0.15">
      <c r="A16" s="4" t="s">
        <v>0</v>
      </c>
    </row>
    <row r="17" spans="1:10" x14ac:dyDescent="0.15">
      <c r="A17" s="4" t="s">
        <v>24</v>
      </c>
    </row>
    <row r="18" spans="1:10" x14ac:dyDescent="0.15">
      <c r="A18" s="4" t="s">
        <v>25</v>
      </c>
    </row>
    <row r="19" spans="1:10" x14ac:dyDescent="0.15">
      <c r="A19" s="4" t="s">
        <v>26</v>
      </c>
    </row>
    <row r="20" spans="1:10" x14ac:dyDescent="0.15">
      <c r="A20" s="4" t="s">
        <v>27</v>
      </c>
    </row>
    <row r="21" spans="1:10" x14ac:dyDescent="0.15">
      <c r="A21" s="4" t="s">
        <v>28</v>
      </c>
    </row>
    <row r="22" spans="1:10" x14ac:dyDescent="0.15">
      <c r="A22" s="4" t="s">
        <v>29</v>
      </c>
    </row>
    <row r="23" spans="1:10" x14ac:dyDescent="0.15">
      <c r="A23" s="4" t="s">
        <v>30</v>
      </c>
    </row>
    <row r="24" spans="1:10" x14ac:dyDescent="0.15">
      <c r="A24" s="4" t="s">
        <v>31</v>
      </c>
    </row>
    <row r="25" spans="1:10" x14ac:dyDescent="0.15">
      <c r="A25" s="4" t="s">
        <v>32</v>
      </c>
    </row>
    <row r="27" spans="1:10" ht="26.1" customHeight="1" x14ac:dyDescent="0.15">
      <c r="A27" s="10" t="s">
        <v>33</v>
      </c>
      <c r="B27" s="8"/>
      <c r="C27" s="8"/>
      <c r="D27" s="8"/>
      <c r="E27" s="8"/>
      <c r="F27" s="8"/>
      <c r="G27" s="8"/>
      <c r="H27" s="8"/>
      <c r="I27" s="8"/>
      <c r="J27" s="8"/>
    </row>
    <row r="28" spans="1:10" ht="15.95" customHeight="1" x14ac:dyDescent="0.15">
      <c r="A28" s="14" t="s">
        <v>34</v>
      </c>
      <c r="B28" s="8"/>
      <c r="C28" s="8"/>
      <c r="D28" s="8"/>
      <c r="E28" s="8"/>
      <c r="F28" s="8"/>
      <c r="G28" s="8"/>
      <c r="H28" s="8"/>
      <c r="I28" s="8"/>
      <c r="J28" s="8"/>
    </row>
    <row r="48" spans="1:10" ht="15.95" customHeight="1" x14ac:dyDescent="0.15">
      <c r="A48" s="14" t="s">
        <v>35</v>
      </c>
      <c r="B48" s="8"/>
      <c r="C48" s="8"/>
      <c r="D48" s="8"/>
      <c r="E48" s="8"/>
      <c r="F48" s="8"/>
      <c r="G48" s="8"/>
      <c r="H48" s="8"/>
      <c r="I48" s="8"/>
      <c r="J48" s="8"/>
    </row>
    <row r="75" spans="1:10" ht="26.1" customHeight="1" x14ac:dyDescent="0.15">
      <c r="A75" s="10" t="s">
        <v>36</v>
      </c>
      <c r="B75" s="8"/>
      <c r="C75" s="8"/>
      <c r="D75" s="8"/>
      <c r="E75" s="8"/>
      <c r="F75" s="8"/>
      <c r="G75" s="8"/>
      <c r="H75" s="8"/>
      <c r="I75" s="8"/>
      <c r="J75" s="8"/>
    </row>
    <row r="76" spans="1:10" ht="20.100000000000001" customHeight="1" x14ac:dyDescent="0.15">
      <c r="A76" s="1" t="s">
        <v>37</v>
      </c>
      <c r="B76" s="1" t="s">
        <v>38</v>
      </c>
      <c r="C76" s="1" t="s">
        <v>39</v>
      </c>
      <c r="D76" s="1" t="s">
        <v>40</v>
      </c>
    </row>
    <row r="77" spans="1:10" ht="18" customHeight="1" x14ac:dyDescent="0.15">
      <c r="A77" s="2" t="s">
        <v>41</v>
      </c>
      <c r="B77" s="2" t="s">
        <v>42</v>
      </c>
      <c r="C77" s="2" t="s">
        <v>43</v>
      </c>
      <c r="D77" s="2" t="s">
        <v>44</v>
      </c>
    </row>
    <row r="78" spans="1:10" ht="18" customHeight="1" x14ac:dyDescent="0.15">
      <c r="A78" s="3" t="s">
        <v>41</v>
      </c>
      <c r="B78" s="3" t="s">
        <v>45</v>
      </c>
      <c r="C78" s="3" t="s">
        <v>46</v>
      </c>
      <c r="D78" s="3" t="s">
        <v>47</v>
      </c>
    </row>
    <row r="79" spans="1:10" ht="18" customHeight="1" x14ac:dyDescent="0.15">
      <c r="A79" s="2" t="s">
        <v>48</v>
      </c>
      <c r="B79" s="2" t="s">
        <v>49</v>
      </c>
      <c r="C79" s="2" t="s">
        <v>50</v>
      </c>
      <c r="D79" s="2" t="s">
        <v>44</v>
      </c>
    </row>
    <row r="80" spans="1:10" ht="18" customHeight="1" x14ac:dyDescent="0.15">
      <c r="A80" s="3" t="s">
        <v>48</v>
      </c>
      <c r="B80" s="3" t="s">
        <v>51</v>
      </c>
      <c r="C80" s="3" t="s">
        <v>50</v>
      </c>
      <c r="D80" s="3" t="s">
        <v>44</v>
      </c>
    </row>
    <row r="81" spans="1:10" ht="18" customHeight="1" x14ac:dyDescent="0.15">
      <c r="A81" s="2" t="s">
        <v>48</v>
      </c>
      <c r="B81" s="2" t="s">
        <v>52</v>
      </c>
      <c r="C81" s="2" t="s">
        <v>50</v>
      </c>
      <c r="D81" s="2" t="s">
        <v>44</v>
      </c>
    </row>
    <row r="82" spans="1:10" ht="9.9499999999999993" customHeight="1" x14ac:dyDescent="0.15"/>
    <row r="83" spans="1:10" ht="9.9499999999999993" customHeight="1" x14ac:dyDescent="0.15"/>
    <row r="84" spans="1:10" ht="15" x14ac:dyDescent="0.15">
      <c r="A84" s="11" t="s">
        <v>53</v>
      </c>
      <c r="B84" s="8"/>
      <c r="C84" s="8"/>
      <c r="D84" s="8"/>
      <c r="E84" s="8"/>
      <c r="F84" s="8"/>
      <c r="G84" s="8"/>
      <c r="H84" s="8"/>
      <c r="I84" s="8"/>
      <c r="J84" s="8"/>
    </row>
    <row r="85" spans="1:10" x14ac:dyDescent="0.15">
      <c r="A85" s="7" t="s">
        <v>54</v>
      </c>
      <c r="B85" s="8"/>
      <c r="C85" s="8"/>
      <c r="D85" s="8"/>
      <c r="E85" s="8"/>
      <c r="F85" s="8"/>
      <c r="G85" s="8"/>
      <c r="H85" s="8"/>
      <c r="I85" s="8"/>
      <c r="J85" s="8"/>
    </row>
    <row r="87" spans="1:10" x14ac:dyDescent="0.15">
      <c r="A87" s="12" t="s">
        <v>55</v>
      </c>
      <c r="B87" s="8"/>
      <c r="C87" s="8"/>
      <c r="D87" s="8"/>
      <c r="E87" s="8"/>
      <c r="F87" s="8"/>
      <c r="G87" s="8"/>
      <c r="H87" s="8"/>
      <c r="I87" s="8"/>
      <c r="J87" s="8"/>
    </row>
    <row r="89" spans="1:10" x14ac:dyDescent="0.15">
      <c r="A89" s="12" t="s">
        <v>56</v>
      </c>
      <c r="B89" s="8"/>
      <c r="C89" s="8"/>
      <c r="D89" s="8"/>
      <c r="E89" s="8"/>
      <c r="F89" s="8"/>
      <c r="G89" s="8"/>
      <c r="H89" s="8"/>
      <c r="I89" s="8"/>
      <c r="J89" s="8"/>
    </row>
    <row r="91" spans="1:10" x14ac:dyDescent="0.15">
      <c r="A91" s="12" t="s">
        <v>57</v>
      </c>
      <c r="B91" s="8"/>
      <c r="C91" s="8"/>
      <c r="D91" s="8"/>
      <c r="E91" s="8"/>
      <c r="F91" s="8"/>
      <c r="G91" s="8"/>
      <c r="H91" s="8"/>
      <c r="I91" s="8"/>
      <c r="J91" s="8"/>
    </row>
    <row r="92" spans="1:10" x14ac:dyDescent="0.15">
      <c r="A92" s="7" t="s">
        <v>58</v>
      </c>
      <c r="B92" s="8"/>
      <c r="C92" s="8"/>
      <c r="D92" s="8"/>
      <c r="E92" s="8"/>
      <c r="F92" s="8"/>
      <c r="G92" s="8"/>
      <c r="H92" s="8"/>
      <c r="I92" s="8"/>
      <c r="J92" s="8"/>
    </row>
    <row r="93" spans="1:10" x14ac:dyDescent="0.15">
      <c r="A93" s="7" t="s">
        <v>59</v>
      </c>
      <c r="B93" s="8"/>
      <c r="C93" s="8"/>
      <c r="D93" s="8"/>
      <c r="E93" s="8"/>
      <c r="F93" s="8"/>
      <c r="G93" s="8"/>
      <c r="H93" s="8"/>
      <c r="I93" s="8"/>
      <c r="J93" s="8"/>
    </row>
    <row r="94" spans="1:10" x14ac:dyDescent="0.15">
      <c r="A94" s="7" t="s">
        <v>60</v>
      </c>
      <c r="B94" s="8"/>
      <c r="C94" s="8"/>
      <c r="D94" s="8"/>
      <c r="E94" s="8"/>
      <c r="F94" s="8"/>
      <c r="G94" s="8"/>
      <c r="H94" s="8"/>
      <c r="I94" s="8"/>
      <c r="J94" s="8"/>
    </row>
    <row r="96" spans="1:10" x14ac:dyDescent="0.15">
      <c r="A96" s="12" t="s">
        <v>61</v>
      </c>
      <c r="B96" s="8"/>
      <c r="C96" s="8"/>
      <c r="D96" s="8"/>
      <c r="E96" s="8"/>
      <c r="F96" s="8"/>
      <c r="G96" s="8"/>
      <c r="H96" s="8"/>
      <c r="I96" s="8"/>
      <c r="J96" s="8"/>
    </row>
    <row r="97" spans="1:10" ht="9.9499999999999993" customHeight="1" x14ac:dyDescent="0.15"/>
    <row r="98" spans="1:10" ht="9.9499999999999993" customHeight="1" x14ac:dyDescent="0.15"/>
    <row r="99" spans="1:10" x14ac:dyDescent="0.15">
      <c r="A99" s="13" t="s">
        <v>62</v>
      </c>
      <c r="B99" s="8"/>
      <c r="C99" s="8"/>
      <c r="D99" s="8"/>
      <c r="E99" s="8"/>
      <c r="F99" s="8"/>
      <c r="G99" s="8"/>
      <c r="H99" s="8"/>
      <c r="I99" s="8"/>
      <c r="J99" s="8"/>
    </row>
  </sheetData>
  <mergeCells count="18">
    <mergeCell ref="A94:J94"/>
    <mergeCell ref="A99:J99"/>
    <mergeCell ref="A27:J27"/>
    <mergeCell ref="A92:J92"/>
    <mergeCell ref="A91:J91"/>
    <mergeCell ref="A48:J48"/>
    <mergeCell ref="A87:J87"/>
    <mergeCell ref="A96:J96"/>
    <mergeCell ref="A28:J28"/>
    <mergeCell ref="A85:J85"/>
    <mergeCell ref="A1:J1"/>
    <mergeCell ref="A75:J75"/>
    <mergeCell ref="A84:J84"/>
    <mergeCell ref="A93:J93"/>
    <mergeCell ref="A89:J89"/>
    <mergeCell ref="A15:J15"/>
    <mergeCell ref="A4:J4"/>
    <mergeCell ref="A2:J2"/>
  </mergeCells>
  <phoneticPr fontId="13" type="noConversion"/>
  <hyperlinks>
    <hyperlink ref="A16" location="Executive Summary!A1" display="Executive Summary" xr:uid="{00000000-0004-0000-0000-000000000000}"/>
    <hyperlink ref="A17" location="Incident Analysis!A1" display="Incident Analysis" xr:uid="{00000000-0004-0000-0000-000001000000}"/>
    <hyperlink ref="A18" location="Incident SLA!A1" display="Incident SLA" xr:uid="{00000000-0004-0000-0000-000002000000}"/>
    <hyperlink ref="A19" location="Change Analysis!A1" display="Change Analysis" xr:uid="{00000000-0004-0000-0000-000003000000}"/>
    <hyperlink ref="A20" location="Request Analysis!A1" display="Request Analysis" xr:uid="{00000000-0004-0000-0000-000004000000}"/>
    <hyperlink ref="A21" location="Problem Analysis!A1" display="Problem Analysis" xr:uid="{00000000-0004-0000-0000-000005000000}"/>
    <hyperlink ref="A22" location="Cross-Process!A1" display="Cross-Process" xr:uid="{00000000-0004-0000-0000-000006000000}"/>
    <hyperlink ref="A23" location="Personnel &amp; Efficiency!A1" display="Personnel &amp; Efficiency" xr:uid="{00000000-0004-0000-0000-000007000000}"/>
    <hyperlink ref="A24" location="Time Analysis!A1" display="Time Analysis" xr:uid="{00000000-0004-0000-0000-000008000000}"/>
    <hyperlink ref="A25" location="Action Plan!A1" display="Action Plan" xr:uid="{00000000-0004-0000-0000-000009000000}"/>
  </hyperlinks>
  <pageMargins left="0.75" right="0.75" top="1" bottom="1" header="0.5" footer="0.5"/>
  <pageSetup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235"/>
  <sheetViews>
    <sheetView workbookViewId="0"/>
  </sheetViews>
  <sheetFormatPr defaultRowHeight="13.5" x14ac:dyDescent="0.15"/>
  <sheetData>
    <row r="1" spans="1:3" x14ac:dyDescent="0.15">
      <c r="A1" t="s">
        <v>63</v>
      </c>
      <c r="B1" t="s">
        <v>4</v>
      </c>
    </row>
    <row r="2" spans="1:3" x14ac:dyDescent="0.15">
      <c r="A2" t="s">
        <v>64</v>
      </c>
      <c r="B2">
        <v>33</v>
      </c>
    </row>
    <row r="3" spans="1:3" x14ac:dyDescent="0.15">
      <c r="A3" t="s">
        <v>65</v>
      </c>
      <c r="B3">
        <v>67</v>
      </c>
    </row>
    <row r="5" spans="1:3" x14ac:dyDescent="0.15">
      <c r="A5" t="s">
        <v>3</v>
      </c>
      <c r="B5" t="s">
        <v>64</v>
      </c>
    </row>
    <row r="6" spans="1:3" x14ac:dyDescent="0.15">
      <c r="A6" t="s">
        <v>66</v>
      </c>
      <c r="B6">
        <v>64.2</v>
      </c>
    </row>
    <row r="7" spans="1:3" x14ac:dyDescent="0.15">
      <c r="A7" t="s">
        <v>67</v>
      </c>
      <c r="B7">
        <v>84</v>
      </c>
    </row>
    <row r="8" spans="1:3" x14ac:dyDescent="0.15">
      <c r="A8" t="s">
        <v>68</v>
      </c>
      <c r="B8">
        <v>0</v>
      </c>
    </row>
    <row r="9" spans="1:3" x14ac:dyDescent="0.15">
      <c r="A9" t="s">
        <v>69</v>
      </c>
      <c r="B9">
        <v>48</v>
      </c>
    </row>
    <row r="11" spans="1:3" x14ac:dyDescent="0.15">
      <c r="A11" t="s">
        <v>70</v>
      </c>
      <c r="B11" t="s">
        <v>71</v>
      </c>
      <c r="C11" t="s">
        <v>72</v>
      </c>
    </row>
    <row r="12" spans="1:3" x14ac:dyDescent="0.15">
      <c r="A12" t="s">
        <v>73</v>
      </c>
      <c r="B12">
        <v>195</v>
      </c>
      <c r="C12">
        <v>46.2</v>
      </c>
    </row>
    <row r="13" spans="1:3" x14ac:dyDescent="0.15">
      <c r="A13" t="s">
        <v>74</v>
      </c>
      <c r="B13">
        <v>725</v>
      </c>
      <c r="C13">
        <v>60.3</v>
      </c>
    </row>
    <row r="14" spans="1:3" x14ac:dyDescent="0.15">
      <c r="A14" t="s">
        <v>75</v>
      </c>
      <c r="B14">
        <v>924</v>
      </c>
      <c r="C14">
        <v>62.9</v>
      </c>
    </row>
    <row r="15" spans="1:3" x14ac:dyDescent="0.15">
      <c r="A15" t="s">
        <v>76</v>
      </c>
      <c r="B15">
        <v>1007</v>
      </c>
      <c r="C15">
        <v>64.3</v>
      </c>
    </row>
    <row r="16" spans="1:3" x14ac:dyDescent="0.15">
      <c r="A16" t="s">
        <v>77</v>
      </c>
      <c r="B16">
        <v>712</v>
      </c>
      <c r="C16">
        <v>62.8</v>
      </c>
    </row>
    <row r="17" spans="1:3" x14ac:dyDescent="0.15">
      <c r="A17" t="s">
        <v>78</v>
      </c>
      <c r="B17">
        <v>621</v>
      </c>
      <c r="C17">
        <v>74.599999999999994</v>
      </c>
    </row>
    <row r="18" spans="1:3" x14ac:dyDescent="0.15">
      <c r="A18" t="s">
        <v>79</v>
      </c>
      <c r="B18">
        <v>542</v>
      </c>
      <c r="C18">
        <v>69.400000000000006</v>
      </c>
    </row>
    <row r="19" spans="1:3" x14ac:dyDescent="0.15">
      <c r="A19" t="s">
        <v>80</v>
      </c>
      <c r="B19">
        <v>441</v>
      </c>
      <c r="C19">
        <v>65.8</v>
      </c>
    </row>
    <row r="20" spans="1:3" x14ac:dyDescent="0.15">
      <c r="A20" t="s">
        <v>81</v>
      </c>
      <c r="B20">
        <v>432</v>
      </c>
      <c r="C20">
        <v>66.2</v>
      </c>
    </row>
    <row r="21" spans="1:3" x14ac:dyDescent="0.15">
      <c r="A21" t="s">
        <v>82</v>
      </c>
      <c r="B21">
        <v>511</v>
      </c>
      <c r="C21">
        <v>65.900000000000006</v>
      </c>
    </row>
    <row r="22" spans="1:3" x14ac:dyDescent="0.15">
      <c r="A22" t="s">
        <v>83</v>
      </c>
      <c r="B22">
        <v>410</v>
      </c>
      <c r="C22">
        <v>66.8</v>
      </c>
    </row>
    <row r="23" spans="1:3" x14ac:dyDescent="0.15">
      <c r="A23" t="s">
        <v>84</v>
      </c>
      <c r="B23">
        <v>599</v>
      </c>
      <c r="C23">
        <v>66.099999999999994</v>
      </c>
    </row>
    <row r="24" spans="1:3" x14ac:dyDescent="0.15">
      <c r="A24" t="s">
        <v>85</v>
      </c>
      <c r="B24">
        <v>491</v>
      </c>
      <c r="C24">
        <v>58.5</v>
      </c>
    </row>
    <row r="25" spans="1:3" x14ac:dyDescent="0.15">
      <c r="A25" t="s">
        <v>86</v>
      </c>
      <c r="B25">
        <v>652</v>
      </c>
      <c r="C25">
        <v>59.4</v>
      </c>
    </row>
    <row r="26" spans="1:3" x14ac:dyDescent="0.15">
      <c r="A26" t="s">
        <v>87</v>
      </c>
      <c r="B26">
        <v>641</v>
      </c>
      <c r="C26">
        <v>66.8</v>
      </c>
    </row>
    <row r="27" spans="1:3" x14ac:dyDescent="0.15">
      <c r="A27" t="s">
        <v>88</v>
      </c>
      <c r="B27">
        <v>74</v>
      </c>
      <c r="C27">
        <v>50</v>
      </c>
    </row>
    <row r="29" spans="1:3" x14ac:dyDescent="0.15">
      <c r="A29" t="s">
        <v>37</v>
      </c>
      <c r="B29" t="s">
        <v>71</v>
      </c>
    </row>
    <row r="30" spans="1:3" x14ac:dyDescent="0.15">
      <c r="A30" t="s">
        <v>89</v>
      </c>
      <c r="B30">
        <v>4042</v>
      </c>
    </row>
    <row r="31" spans="1:3" x14ac:dyDescent="0.15">
      <c r="A31" t="s">
        <v>90</v>
      </c>
      <c r="B31">
        <v>448</v>
      </c>
    </row>
    <row r="32" spans="1:3" x14ac:dyDescent="0.15">
      <c r="A32" t="s">
        <v>91</v>
      </c>
      <c r="B32">
        <v>3141</v>
      </c>
    </row>
    <row r="33" spans="1:2" x14ac:dyDescent="0.15">
      <c r="A33" t="s">
        <v>92</v>
      </c>
      <c r="B33">
        <v>1346</v>
      </c>
    </row>
    <row r="35" spans="1:2" x14ac:dyDescent="0.15">
      <c r="A35" t="s">
        <v>93</v>
      </c>
      <c r="B35" t="s">
        <v>71</v>
      </c>
    </row>
    <row r="36" spans="1:2" x14ac:dyDescent="0.15">
      <c r="A36" t="s">
        <v>94</v>
      </c>
      <c r="B36">
        <v>3936</v>
      </c>
    </row>
    <row r="37" spans="1:2" x14ac:dyDescent="0.15">
      <c r="A37" t="s">
        <v>95</v>
      </c>
      <c r="B37">
        <v>809</v>
      </c>
    </row>
    <row r="38" spans="1:2" x14ac:dyDescent="0.15">
      <c r="A38" t="s">
        <v>96</v>
      </c>
      <c r="B38">
        <v>790</v>
      </c>
    </row>
    <row r="39" spans="1:2" x14ac:dyDescent="0.15">
      <c r="A39" t="s">
        <v>97</v>
      </c>
      <c r="B39">
        <v>706</v>
      </c>
    </row>
    <row r="40" spans="1:2" x14ac:dyDescent="0.15">
      <c r="A40" t="s">
        <v>98</v>
      </c>
      <c r="B40">
        <v>656</v>
      </c>
    </row>
    <row r="41" spans="1:2" x14ac:dyDescent="0.15">
      <c r="A41" t="s">
        <v>99</v>
      </c>
      <c r="B41">
        <v>411</v>
      </c>
    </row>
    <row r="42" spans="1:2" x14ac:dyDescent="0.15">
      <c r="A42" t="s">
        <v>100</v>
      </c>
      <c r="B42">
        <v>320</v>
      </c>
    </row>
    <row r="43" spans="1:2" x14ac:dyDescent="0.15">
      <c r="A43" t="s">
        <v>101</v>
      </c>
      <c r="B43">
        <v>311</v>
      </c>
    </row>
    <row r="44" spans="1:2" x14ac:dyDescent="0.15">
      <c r="A44" t="s">
        <v>102</v>
      </c>
      <c r="B44">
        <v>266</v>
      </c>
    </row>
    <row r="45" spans="1:2" x14ac:dyDescent="0.15">
      <c r="A45" t="s">
        <v>103</v>
      </c>
      <c r="B45">
        <v>220</v>
      </c>
    </row>
    <row r="47" spans="1:2" x14ac:dyDescent="0.15">
      <c r="A47" t="s">
        <v>63</v>
      </c>
      <c r="B47" t="s">
        <v>4</v>
      </c>
    </row>
    <row r="48" spans="1:2" x14ac:dyDescent="0.15">
      <c r="A48" t="s">
        <v>104</v>
      </c>
      <c r="B48">
        <v>64.2</v>
      </c>
    </row>
    <row r="49" spans="1:3" x14ac:dyDescent="0.15">
      <c r="A49" t="s">
        <v>105</v>
      </c>
      <c r="B49">
        <v>35.799999999999997</v>
      </c>
    </row>
    <row r="51" spans="1:3" x14ac:dyDescent="0.15">
      <c r="A51" t="s">
        <v>70</v>
      </c>
      <c r="B51" t="s">
        <v>106</v>
      </c>
      <c r="C51" t="s">
        <v>107</v>
      </c>
    </row>
    <row r="52" spans="1:3" x14ac:dyDescent="0.15">
      <c r="A52" t="s">
        <v>73</v>
      </c>
      <c r="B52">
        <v>0</v>
      </c>
      <c r="C52">
        <v>95</v>
      </c>
    </row>
    <row r="53" spans="1:3" x14ac:dyDescent="0.15">
      <c r="A53" t="s">
        <v>74</v>
      </c>
      <c r="B53">
        <v>0</v>
      </c>
      <c r="C53">
        <v>95</v>
      </c>
    </row>
    <row r="54" spans="1:3" x14ac:dyDescent="0.15">
      <c r="A54" t="s">
        <v>75</v>
      </c>
      <c r="B54">
        <v>0</v>
      </c>
      <c r="C54">
        <v>95</v>
      </c>
    </row>
    <row r="55" spans="1:3" x14ac:dyDescent="0.15">
      <c r="A55" t="s">
        <v>76</v>
      </c>
      <c r="B55">
        <v>0</v>
      </c>
      <c r="C55">
        <v>95</v>
      </c>
    </row>
    <row r="56" spans="1:3" x14ac:dyDescent="0.15">
      <c r="A56" t="s">
        <v>77</v>
      </c>
      <c r="B56">
        <v>0</v>
      </c>
      <c r="C56">
        <v>95</v>
      </c>
    </row>
    <row r="57" spans="1:3" x14ac:dyDescent="0.15">
      <c r="A57" t="s">
        <v>78</v>
      </c>
      <c r="B57">
        <v>0</v>
      </c>
      <c r="C57">
        <v>95</v>
      </c>
    </row>
    <row r="58" spans="1:3" x14ac:dyDescent="0.15">
      <c r="A58" t="s">
        <v>79</v>
      </c>
      <c r="B58">
        <v>0</v>
      </c>
      <c r="C58">
        <v>95</v>
      </c>
    </row>
    <row r="59" spans="1:3" x14ac:dyDescent="0.15">
      <c r="A59" t="s">
        <v>80</v>
      </c>
      <c r="B59">
        <v>0</v>
      </c>
      <c r="C59">
        <v>95</v>
      </c>
    </row>
    <row r="60" spans="1:3" x14ac:dyDescent="0.15">
      <c r="A60" t="s">
        <v>81</v>
      </c>
      <c r="B60">
        <v>0</v>
      </c>
      <c r="C60">
        <v>95</v>
      </c>
    </row>
    <row r="61" spans="1:3" x14ac:dyDescent="0.15">
      <c r="A61" t="s">
        <v>82</v>
      </c>
      <c r="B61">
        <v>0</v>
      </c>
      <c r="C61">
        <v>95</v>
      </c>
    </row>
    <row r="62" spans="1:3" x14ac:dyDescent="0.15">
      <c r="A62" t="s">
        <v>83</v>
      </c>
      <c r="B62">
        <v>0</v>
      </c>
      <c r="C62">
        <v>95</v>
      </c>
    </row>
    <row r="63" spans="1:3" x14ac:dyDescent="0.15">
      <c r="A63" t="s">
        <v>84</v>
      </c>
      <c r="B63">
        <v>0</v>
      </c>
      <c r="C63">
        <v>95</v>
      </c>
    </row>
    <row r="64" spans="1:3" x14ac:dyDescent="0.15">
      <c r="A64" t="s">
        <v>85</v>
      </c>
      <c r="B64">
        <v>0</v>
      </c>
      <c r="C64">
        <v>95</v>
      </c>
    </row>
    <row r="65" spans="1:3" x14ac:dyDescent="0.15">
      <c r="A65" t="s">
        <v>86</v>
      </c>
      <c r="B65">
        <v>0</v>
      </c>
      <c r="C65">
        <v>95</v>
      </c>
    </row>
    <row r="66" spans="1:3" x14ac:dyDescent="0.15">
      <c r="A66" t="s">
        <v>87</v>
      </c>
      <c r="B66">
        <v>0</v>
      </c>
      <c r="C66">
        <v>95</v>
      </c>
    </row>
    <row r="67" spans="1:3" x14ac:dyDescent="0.15">
      <c r="A67" t="s">
        <v>88</v>
      </c>
      <c r="B67">
        <v>0</v>
      </c>
      <c r="C67">
        <v>95</v>
      </c>
    </row>
    <row r="69" spans="1:3" x14ac:dyDescent="0.15">
      <c r="A69" t="s">
        <v>108</v>
      </c>
      <c r="B69" t="s">
        <v>71</v>
      </c>
    </row>
    <row r="70" spans="1:3" x14ac:dyDescent="0.15">
      <c r="A70" t="s">
        <v>109</v>
      </c>
      <c r="B70">
        <v>30</v>
      </c>
    </row>
    <row r="71" spans="1:3" x14ac:dyDescent="0.15">
      <c r="A71" t="s">
        <v>110</v>
      </c>
      <c r="B71">
        <v>15</v>
      </c>
    </row>
    <row r="72" spans="1:3" x14ac:dyDescent="0.15">
      <c r="A72" t="s">
        <v>111</v>
      </c>
      <c r="B72">
        <v>5</v>
      </c>
    </row>
    <row r="74" spans="1:3" x14ac:dyDescent="0.15">
      <c r="A74" t="s">
        <v>70</v>
      </c>
      <c r="B74" t="s">
        <v>112</v>
      </c>
      <c r="C74" t="s">
        <v>113</v>
      </c>
    </row>
    <row r="75" spans="1:3" x14ac:dyDescent="0.15">
      <c r="A75" t="s">
        <v>73</v>
      </c>
      <c r="B75">
        <v>0</v>
      </c>
      <c r="C75">
        <v>90</v>
      </c>
    </row>
    <row r="76" spans="1:3" x14ac:dyDescent="0.15">
      <c r="A76" t="s">
        <v>74</v>
      </c>
      <c r="B76">
        <v>0</v>
      </c>
      <c r="C76">
        <v>90</v>
      </c>
    </row>
    <row r="77" spans="1:3" x14ac:dyDescent="0.15">
      <c r="A77" t="s">
        <v>75</v>
      </c>
      <c r="B77">
        <v>0</v>
      </c>
      <c r="C77">
        <v>90</v>
      </c>
    </row>
    <row r="78" spans="1:3" x14ac:dyDescent="0.15">
      <c r="A78" t="s">
        <v>76</v>
      </c>
      <c r="B78">
        <v>0</v>
      </c>
      <c r="C78">
        <v>90</v>
      </c>
    </row>
    <row r="79" spans="1:3" x14ac:dyDescent="0.15">
      <c r="A79" t="s">
        <v>77</v>
      </c>
      <c r="B79">
        <v>0</v>
      </c>
      <c r="C79">
        <v>90</v>
      </c>
    </row>
    <row r="80" spans="1:3" x14ac:dyDescent="0.15">
      <c r="A80" t="s">
        <v>78</v>
      </c>
      <c r="B80">
        <v>0</v>
      </c>
      <c r="C80">
        <v>90</v>
      </c>
    </row>
    <row r="81" spans="1:3" x14ac:dyDescent="0.15">
      <c r="A81" t="s">
        <v>79</v>
      </c>
      <c r="B81">
        <v>0</v>
      </c>
      <c r="C81">
        <v>90</v>
      </c>
    </row>
    <row r="82" spans="1:3" x14ac:dyDescent="0.15">
      <c r="A82" t="s">
        <v>80</v>
      </c>
      <c r="B82">
        <v>100</v>
      </c>
      <c r="C82">
        <v>90</v>
      </c>
    </row>
    <row r="83" spans="1:3" x14ac:dyDescent="0.15">
      <c r="A83" t="s">
        <v>81</v>
      </c>
      <c r="B83">
        <v>81.2</v>
      </c>
      <c r="C83">
        <v>90</v>
      </c>
    </row>
    <row r="84" spans="1:3" x14ac:dyDescent="0.15">
      <c r="A84" t="s">
        <v>82</v>
      </c>
      <c r="B84">
        <v>81.8</v>
      </c>
      <c r="C84">
        <v>90</v>
      </c>
    </row>
    <row r="85" spans="1:3" x14ac:dyDescent="0.15">
      <c r="A85" t="s">
        <v>83</v>
      </c>
      <c r="B85">
        <v>0</v>
      </c>
      <c r="C85">
        <v>90</v>
      </c>
    </row>
    <row r="86" spans="1:3" x14ac:dyDescent="0.15">
      <c r="A86" t="s">
        <v>84</v>
      </c>
      <c r="B86">
        <v>0</v>
      </c>
      <c r="C86">
        <v>90</v>
      </c>
    </row>
    <row r="87" spans="1:3" x14ac:dyDescent="0.15">
      <c r="A87" t="s">
        <v>85</v>
      </c>
      <c r="B87">
        <v>0</v>
      </c>
      <c r="C87">
        <v>90</v>
      </c>
    </row>
    <row r="88" spans="1:3" x14ac:dyDescent="0.15">
      <c r="A88" t="s">
        <v>86</v>
      </c>
      <c r="B88">
        <v>0</v>
      </c>
      <c r="C88">
        <v>90</v>
      </c>
    </row>
    <row r="89" spans="1:3" x14ac:dyDescent="0.15">
      <c r="A89" t="s">
        <v>87</v>
      </c>
      <c r="B89">
        <v>0</v>
      </c>
      <c r="C89">
        <v>90</v>
      </c>
    </row>
    <row r="90" spans="1:3" x14ac:dyDescent="0.15">
      <c r="A90" t="s">
        <v>88</v>
      </c>
      <c r="B90">
        <v>0</v>
      </c>
      <c r="C90">
        <v>90</v>
      </c>
    </row>
    <row r="92" spans="1:3" x14ac:dyDescent="0.15">
      <c r="A92" t="s">
        <v>93</v>
      </c>
      <c r="B92" t="s">
        <v>114</v>
      </c>
      <c r="C92" t="s">
        <v>115</v>
      </c>
    </row>
    <row r="93" spans="1:3" x14ac:dyDescent="0.15">
      <c r="A93" t="s">
        <v>116</v>
      </c>
      <c r="B93">
        <v>16</v>
      </c>
      <c r="C93">
        <v>0</v>
      </c>
    </row>
    <row r="94" spans="1:3" x14ac:dyDescent="0.15">
      <c r="A94" t="s">
        <v>117</v>
      </c>
      <c r="B94">
        <v>11</v>
      </c>
      <c r="C94">
        <v>0</v>
      </c>
    </row>
    <row r="95" spans="1:3" x14ac:dyDescent="0.15">
      <c r="A95" t="s">
        <v>118</v>
      </c>
      <c r="B95">
        <v>9</v>
      </c>
      <c r="C95">
        <v>0</v>
      </c>
    </row>
    <row r="96" spans="1:3" x14ac:dyDescent="0.15">
      <c r="A96" t="s">
        <v>119</v>
      </c>
      <c r="B96">
        <v>7</v>
      </c>
      <c r="C96">
        <v>0</v>
      </c>
    </row>
    <row r="97" spans="1:3" x14ac:dyDescent="0.15">
      <c r="A97" t="s">
        <v>120</v>
      </c>
      <c r="B97">
        <v>7</v>
      </c>
      <c r="C97">
        <v>0</v>
      </c>
    </row>
    <row r="99" spans="1:3" x14ac:dyDescent="0.15">
      <c r="A99" t="s">
        <v>108</v>
      </c>
      <c r="B99" t="s">
        <v>71</v>
      </c>
    </row>
    <row r="100" spans="1:3" x14ac:dyDescent="0.15">
      <c r="A100" t="s">
        <v>109</v>
      </c>
      <c r="B100">
        <v>20</v>
      </c>
    </row>
    <row r="101" spans="1:3" x14ac:dyDescent="0.15">
      <c r="A101" t="s">
        <v>110</v>
      </c>
      <c r="B101">
        <v>14</v>
      </c>
    </row>
    <row r="102" spans="1:3" x14ac:dyDescent="0.15">
      <c r="A102" t="s">
        <v>111</v>
      </c>
      <c r="B102">
        <v>7</v>
      </c>
    </row>
    <row r="103" spans="1:3" x14ac:dyDescent="0.15">
      <c r="A103" t="s">
        <v>121</v>
      </c>
      <c r="B103">
        <v>9</v>
      </c>
    </row>
    <row r="105" spans="1:3" x14ac:dyDescent="0.15">
      <c r="A105" t="s">
        <v>122</v>
      </c>
      <c r="B105" t="s">
        <v>71</v>
      </c>
    </row>
    <row r="106" spans="1:3" x14ac:dyDescent="0.15">
      <c r="A106" t="s">
        <v>123</v>
      </c>
      <c r="B106">
        <v>10</v>
      </c>
    </row>
    <row r="107" spans="1:3" x14ac:dyDescent="0.15">
      <c r="A107" t="s">
        <v>124</v>
      </c>
      <c r="B107">
        <v>9</v>
      </c>
    </row>
    <row r="108" spans="1:3" x14ac:dyDescent="0.15">
      <c r="A108" t="s">
        <v>125</v>
      </c>
      <c r="B108">
        <v>7</v>
      </c>
    </row>
    <row r="109" spans="1:3" x14ac:dyDescent="0.15">
      <c r="A109" t="s">
        <v>126</v>
      </c>
      <c r="B109">
        <v>5</v>
      </c>
    </row>
    <row r="110" spans="1:3" x14ac:dyDescent="0.15">
      <c r="A110" t="s">
        <v>127</v>
      </c>
      <c r="B110">
        <v>2</v>
      </c>
    </row>
    <row r="112" spans="1:3" x14ac:dyDescent="0.15">
      <c r="A112" t="s">
        <v>70</v>
      </c>
      <c r="B112" t="s">
        <v>128</v>
      </c>
      <c r="C112" t="s">
        <v>129</v>
      </c>
    </row>
    <row r="113" spans="1:3" x14ac:dyDescent="0.15">
      <c r="A113" t="s">
        <v>73</v>
      </c>
      <c r="B113">
        <v>0</v>
      </c>
      <c r="C113">
        <v>0</v>
      </c>
    </row>
    <row r="114" spans="1:3" x14ac:dyDescent="0.15">
      <c r="A114" t="s">
        <v>74</v>
      </c>
      <c r="B114">
        <v>0</v>
      </c>
      <c r="C114">
        <v>0</v>
      </c>
    </row>
    <row r="115" spans="1:3" x14ac:dyDescent="0.15">
      <c r="A115" t="s">
        <v>75</v>
      </c>
      <c r="B115">
        <v>0</v>
      </c>
      <c r="C115">
        <v>0</v>
      </c>
    </row>
    <row r="116" spans="1:3" x14ac:dyDescent="0.15">
      <c r="A116" t="s">
        <v>76</v>
      </c>
      <c r="B116">
        <v>0</v>
      </c>
      <c r="C116">
        <v>0</v>
      </c>
    </row>
    <row r="117" spans="1:3" x14ac:dyDescent="0.15">
      <c r="A117" t="s">
        <v>77</v>
      </c>
      <c r="B117">
        <v>0</v>
      </c>
      <c r="C117">
        <v>0</v>
      </c>
    </row>
    <row r="118" spans="1:3" x14ac:dyDescent="0.15">
      <c r="A118" t="s">
        <v>78</v>
      </c>
      <c r="B118">
        <v>0</v>
      </c>
      <c r="C118">
        <v>0</v>
      </c>
    </row>
    <row r="119" spans="1:3" x14ac:dyDescent="0.15">
      <c r="A119" t="s">
        <v>79</v>
      </c>
      <c r="B119">
        <v>0</v>
      </c>
      <c r="C119">
        <v>0</v>
      </c>
    </row>
    <row r="120" spans="1:3" x14ac:dyDescent="0.15">
      <c r="A120" t="s">
        <v>80</v>
      </c>
      <c r="B120">
        <v>9</v>
      </c>
      <c r="C120">
        <v>0</v>
      </c>
    </row>
    <row r="121" spans="1:3" x14ac:dyDescent="0.15">
      <c r="A121" t="s">
        <v>81</v>
      </c>
      <c r="B121">
        <v>30</v>
      </c>
      <c r="C121">
        <v>0</v>
      </c>
    </row>
    <row r="122" spans="1:3" x14ac:dyDescent="0.15">
      <c r="A122" t="s">
        <v>82</v>
      </c>
      <c r="B122">
        <v>11</v>
      </c>
      <c r="C122">
        <v>0</v>
      </c>
    </row>
    <row r="123" spans="1:3" x14ac:dyDescent="0.15">
      <c r="A123" t="s">
        <v>83</v>
      </c>
      <c r="B123">
        <v>0</v>
      </c>
      <c r="C123">
        <v>0</v>
      </c>
    </row>
    <row r="124" spans="1:3" x14ac:dyDescent="0.15">
      <c r="A124" t="s">
        <v>84</v>
      </c>
      <c r="B124">
        <v>0</v>
      </c>
      <c r="C124">
        <v>0</v>
      </c>
    </row>
    <row r="125" spans="1:3" x14ac:dyDescent="0.15">
      <c r="A125" t="s">
        <v>85</v>
      </c>
      <c r="B125">
        <v>0</v>
      </c>
      <c r="C125">
        <v>0</v>
      </c>
    </row>
    <row r="126" spans="1:3" x14ac:dyDescent="0.15">
      <c r="A126" t="s">
        <v>86</v>
      </c>
      <c r="B126">
        <v>0</v>
      </c>
      <c r="C126">
        <v>0</v>
      </c>
    </row>
    <row r="127" spans="1:3" x14ac:dyDescent="0.15">
      <c r="A127" t="s">
        <v>87</v>
      </c>
      <c r="B127">
        <v>0</v>
      </c>
      <c r="C127">
        <v>0</v>
      </c>
    </row>
    <row r="128" spans="1:3" x14ac:dyDescent="0.15">
      <c r="A128" t="s">
        <v>88</v>
      </c>
      <c r="B128">
        <v>0</v>
      </c>
      <c r="C128">
        <v>0</v>
      </c>
    </row>
    <row r="130" spans="1:4" x14ac:dyDescent="0.15">
      <c r="A130" t="s">
        <v>130</v>
      </c>
      <c r="B130" t="s">
        <v>131</v>
      </c>
      <c r="C130" t="s">
        <v>132</v>
      </c>
      <c r="D130" t="s">
        <v>133</v>
      </c>
    </row>
    <row r="131" spans="1:4" x14ac:dyDescent="0.15">
      <c r="A131" t="s">
        <v>134</v>
      </c>
      <c r="B131">
        <v>6</v>
      </c>
      <c r="C131">
        <v>24.6</v>
      </c>
      <c r="D131">
        <v>60</v>
      </c>
    </row>
    <row r="132" spans="1:4" x14ac:dyDescent="0.15">
      <c r="A132" t="s">
        <v>135</v>
      </c>
      <c r="B132">
        <v>11</v>
      </c>
      <c r="C132">
        <v>39.299999999999997</v>
      </c>
      <c r="D132">
        <v>57</v>
      </c>
    </row>
    <row r="133" spans="1:4" x14ac:dyDescent="0.15">
      <c r="A133" t="s">
        <v>136</v>
      </c>
      <c r="B133">
        <v>9</v>
      </c>
      <c r="C133">
        <v>45.9</v>
      </c>
      <c r="D133">
        <v>72</v>
      </c>
    </row>
    <row r="134" spans="1:4" x14ac:dyDescent="0.15">
      <c r="A134" t="s">
        <v>137</v>
      </c>
      <c r="B134">
        <v>11</v>
      </c>
      <c r="C134">
        <v>41.2</v>
      </c>
      <c r="D134">
        <v>61</v>
      </c>
    </row>
    <row r="136" spans="1:4" x14ac:dyDescent="0.15">
      <c r="A136" t="s">
        <v>5</v>
      </c>
      <c r="B136" t="s">
        <v>71</v>
      </c>
    </row>
    <row r="137" spans="1:4" x14ac:dyDescent="0.15">
      <c r="A137" t="s">
        <v>138</v>
      </c>
      <c r="B137">
        <v>14</v>
      </c>
    </row>
    <row r="138" spans="1:4" x14ac:dyDescent="0.15">
      <c r="A138" t="s">
        <v>139</v>
      </c>
      <c r="B138">
        <v>16</v>
      </c>
    </row>
    <row r="139" spans="1:4" x14ac:dyDescent="0.15">
      <c r="A139" t="s">
        <v>140</v>
      </c>
      <c r="B139">
        <v>8</v>
      </c>
    </row>
    <row r="140" spans="1:4" x14ac:dyDescent="0.15">
      <c r="A140" t="s">
        <v>141</v>
      </c>
      <c r="B140">
        <v>10</v>
      </c>
    </row>
    <row r="141" spans="1:4" x14ac:dyDescent="0.15">
      <c r="A141" t="s">
        <v>142</v>
      </c>
      <c r="B141">
        <v>2</v>
      </c>
    </row>
    <row r="143" spans="1:4" x14ac:dyDescent="0.15">
      <c r="A143" t="s">
        <v>143</v>
      </c>
      <c r="B143" t="s">
        <v>71</v>
      </c>
    </row>
    <row r="144" spans="1:4" x14ac:dyDescent="0.15">
      <c r="A144" t="s">
        <v>144</v>
      </c>
      <c r="B144">
        <v>15</v>
      </c>
    </row>
    <row r="145" spans="1:3" x14ac:dyDescent="0.15">
      <c r="A145" t="s">
        <v>145</v>
      </c>
      <c r="B145">
        <v>8</v>
      </c>
    </row>
    <row r="146" spans="1:3" x14ac:dyDescent="0.15">
      <c r="A146" t="s">
        <v>146</v>
      </c>
      <c r="B146">
        <v>11</v>
      </c>
    </row>
    <row r="147" spans="1:3" x14ac:dyDescent="0.15">
      <c r="A147" t="s">
        <v>147</v>
      </c>
      <c r="B147">
        <v>13</v>
      </c>
    </row>
    <row r="148" spans="1:3" x14ac:dyDescent="0.15">
      <c r="A148" t="s">
        <v>148</v>
      </c>
      <c r="B148">
        <v>3</v>
      </c>
    </row>
    <row r="150" spans="1:3" x14ac:dyDescent="0.15">
      <c r="A150" t="s">
        <v>70</v>
      </c>
      <c r="B150" t="s">
        <v>71</v>
      </c>
      <c r="C150" t="s">
        <v>149</v>
      </c>
    </row>
    <row r="151" spans="1:3" x14ac:dyDescent="0.15">
      <c r="A151" t="s">
        <v>73</v>
      </c>
      <c r="B151">
        <v>0</v>
      </c>
      <c r="C151">
        <v>0</v>
      </c>
    </row>
    <row r="152" spans="1:3" x14ac:dyDescent="0.15">
      <c r="A152" t="s">
        <v>74</v>
      </c>
      <c r="B152">
        <v>0</v>
      </c>
      <c r="C152">
        <v>0</v>
      </c>
    </row>
    <row r="153" spans="1:3" x14ac:dyDescent="0.15">
      <c r="A153" t="s">
        <v>75</v>
      </c>
      <c r="B153">
        <v>0</v>
      </c>
      <c r="C153">
        <v>0</v>
      </c>
    </row>
    <row r="154" spans="1:3" x14ac:dyDescent="0.15">
      <c r="A154" t="s">
        <v>76</v>
      </c>
      <c r="B154">
        <v>0</v>
      </c>
      <c r="C154">
        <v>0</v>
      </c>
    </row>
    <row r="155" spans="1:3" x14ac:dyDescent="0.15">
      <c r="A155" t="s">
        <v>77</v>
      </c>
      <c r="B155">
        <v>0</v>
      </c>
      <c r="C155">
        <v>0</v>
      </c>
    </row>
    <row r="156" spans="1:3" x14ac:dyDescent="0.15">
      <c r="A156" t="s">
        <v>78</v>
      </c>
      <c r="B156">
        <v>0</v>
      </c>
      <c r="C156">
        <v>0</v>
      </c>
    </row>
    <row r="157" spans="1:3" x14ac:dyDescent="0.15">
      <c r="A157" t="s">
        <v>79</v>
      </c>
      <c r="B157">
        <v>0</v>
      </c>
      <c r="C157">
        <v>0</v>
      </c>
    </row>
    <row r="158" spans="1:3" x14ac:dyDescent="0.15">
      <c r="A158" t="s">
        <v>80</v>
      </c>
      <c r="B158">
        <v>11</v>
      </c>
      <c r="C158">
        <v>11</v>
      </c>
    </row>
    <row r="159" spans="1:3" x14ac:dyDescent="0.15">
      <c r="A159" t="s">
        <v>81</v>
      </c>
      <c r="B159">
        <v>28</v>
      </c>
      <c r="C159">
        <v>39</v>
      </c>
    </row>
    <row r="160" spans="1:3" x14ac:dyDescent="0.15">
      <c r="A160" t="s">
        <v>82</v>
      </c>
      <c r="B160">
        <v>11</v>
      </c>
      <c r="C160">
        <v>50</v>
      </c>
    </row>
    <row r="161" spans="1:3" x14ac:dyDescent="0.15">
      <c r="A161" t="s">
        <v>83</v>
      </c>
      <c r="B161">
        <v>0</v>
      </c>
      <c r="C161">
        <v>50</v>
      </c>
    </row>
    <row r="162" spans="1:3" x14ac:dyDescent="0.15">
      <c r="A162" t="s">
        <v>84</v>
      </c>
      <c r="B162">
        <v>0</v>
      </c>
      <c r="C162">
        <v>50</v>
      </c>
    </row>
    <row r="163" spans="1:3" x14ac:dyDescent="0.15">
      <c r="A163" t="s">
        <v>85</v>
      </c>
      <c r="B163">
        <v>0</v>
      </c>
      <c r="C163">
        <v>50</v>
      </c>
    </row>
    <row r="164" spans="1:3" x14ac:dyDescent="0.15">
      <c r="A164" t="s">
        <v>86</v>
      </c>
      <c r="B164">
        <v>0</v>
      </c>
      <c r="C164">
        <v>50</v>
      </c>
    </row>
    <row r="165" spans="1:3" x14ac:dyDescent="0.15">
      <c r="A165" t="s">
        <v>87</v>
      </c>
      <c r="B165">
        <v>0</v>
      </c>
      <c r="C165">
        <v>50</v>
      </c>
    </row>
    <row r="166" spans="1:3" x14ac:dyDescent="0.15">
      <c r="A166" t="s">
        <v>88</v>
      </c>
      <c r="B166">
        <v>0</v>
      </c>
      <c r="C166">
        <v>50</v>
      </c>
    </row>
    <row r="168" spans="1:3" x14ac:dyDescent="0.15">
      <c r="A168" t="s">
        <v>150</v>
      </c>
      <c r="B168" t="s">
        <v>71</v>
      </c>
    </row>
    <row r="169" spans="1:3" x14ac:dyDescent="0.15">
      <c r="A169" t="s">
        <v>151</v>
      </c>
      <c r="B169">
        <v>9</v>
      </c>
    </row>
    <row r="171" spans="1:3" x14ac:dyDescent="0.15">
      <c r="A171" t="s">
        <v>152</v>
      </c>
      <c r="B171" t="s">
        <v>71</v>
      </c>
    </row>
    <row r="172" spans="1:3" x14ac:dyDescent="0.15">
      <c r="A172" t="s">
        <v>153</v>
      </c>
      <c r="B172">
        <v>414</v>
      </c>
    </row>
    <row r="173" spans="1:3" x14ac:dyDescent="0.15">
      <c r="A173" t="s">
        <v>154</v>
      </c>
      <c r="B173">
        <v>395</v>
      </c>
    </row>
    <row r="174" spans="1:3" x14ac:dyDescent="0.15">
      <c r="A174" t="s">
        <v>155</v>
      </c>
      <c r="B174">
        <v>393</v>
      </c>
    </row>
    <row r="175" spans="1:3" x14ac:dyDescent="0.15">
      <c r="A175" t="s">
        <v>156</v>
      </c>
      <c r="B175">
        <v>389</v>
      </c>
    </row>
    <row r="176" spans="1:3" x14ac:dyDescent="0.15">
      <c r="A176" t="s">
        <v>157</v>
      </c>
      <c r="B176">
        <v>385</v>
      </c>
    </row>
    <row r="177" spans="1:2" x14ac:dyDescent="0.15">
      <c r="A177" t="s">
        <v>158</v>
      </c>
      <c r="B177">
        <v>385</v>
      </c>
    </row>
    <row r="178" spans="1:2" x14ac:dyDescent="0.15">
      <c r="A178" t="s">
        <v>159</v>
      </c>
      <c r="B178">
        <v>384</v>
      </c>
    </row>
    <row r="179" spans="1:2" x14ac:dyDescent="0.15">
      <c r="A179" t="s">
        <v>160</v>
      </c>
      <c r="B179">
        <v>381</v>
      </c>
    </row>
    <row r="180" spans="1:2" x14ac:dyDescent="0.15">
      <c r="A180" t="s">
        <v>161</v>
      </c>
      <c r="B180">
        <v>381</v>
      </c>
    </row>
    <row r="181" spans="1:2" x14ac:dyDescent="0.15">
      <c r="A181" t="s">
        <v>162</v>
      </c>
      <c r="B181">
        <v>380</v>
      </c>
    </row>
    <row r="182" spans="1:2" x14ac:dyDescent="0.15">
      <c r="A182" t="s">
        <v>163</v>
      </c>
      <c r="B182">
        <v>379</v>
      </c>
    </row>
    <row r="183" spans="1:2" x14ac:dyDescent="0.15">
      <c r="A183" t="s">
        <v>164</v>
      </c>
      <c r="B183">
        <v>379</v>
      </c>
    </row>
    <row r="184" spans="1:2" x14ac:dyDescent="0.15">
      <c r="A184" t="s">
        <v>165</v>
      </c>
      <c r="B184">
        <v>377</v>
      </c>
    </row>
    <row r="185" spans="1:2" x14ac:dyDescent="0.15">
      <c r="A185" t="s">
        <v>166</v>
      </c>
      <c r="B185">
        <v>376</v>
      </c>
    </row>
    <row r="186" spans="1:2" x14ac:dyDescent="0.15">
      <c r="A186" t="s">
        <v>167</v>
      </c>
      <c r="B186">
        <v>375</v>
      </c>
    </row>
    <row r="188" spans="1:2" x14ac:dyDescent="0.15">
      <c r="A188" t="s">
        <v>152</v>
      </c>
      <c r="B188" t="s">
        <v>71</v>
      </c>
    </row>
    <row r="189" spans="1:2" x14ac:dyDescent="0.15">
      <c r="A189" t="s">
        <v>153</v>
      </c>
      <c r="B189">
        <v>414</v>
      </c>
    </row>
    <row r="190" spans="1:2" x14ac:dyDescent="0.15">
      <c r="A190" t="s">
        <v>154</v>
      </c>
      <c r="B190">
        <v>395</v>
      </c>
    </row>
    <row r="191" spans="1:2" x14ac:dyDescent="0.15">
      <c r="A191" t="s">
        <v>155</v>
      </c>
      <c r="B191">
        <v>393</v>
      </c>
    </row>
    <row r="192" spans="1:2" x14ac:dyDescent="0.15">
      <c r="A192" t="s">
        <v>156</v>
      </c>
      <c r="B192">
        <v>389</v>
      </c>
    </row>
    <row r="193" spans="1:5" x14ac:dyDescent="0.15">
      <c r="A193" t="s">
        <v>157</v>
      </c>
      <c r="B193">
        <v>385</v>
      </c>
    </row>
    <row r="194" spans="1:5" x14ac:dyDescent="0.15">
      <c r="A194" t="s">
        <v>158</v>
      </c>
      <c r="B194">
        <v>385</v>
      </c>
    </row>
    <row r="195" spans="1:5" x14ac:dyDescent="0.15">
      <c r="A195" t="s">
        <v>159</v>
      </c>
      <c r="B195">
        <v>384</v>
      </c>
    </row>
    <row r="196" spans="1:5" x14ac:dyDescent="0.15">
      <c r="A196" t="s">
        <v>160</v>
      </c>
      <c r="B196">
        <v>381</v>
      </c>
    </row>
    <row r="197" spans="1:5" x14ac:dyDescent="0.15">
      <c r="A197" t="s">
        <v>161</v>
      </c>
      <c r="B197">
        <v>381</v>
      </c>
    </row>
    <row r="198" spans="1:5" x14ac:dyDescent="0.15">
      <c r="A198" t="s">
        <v>162</v>
      </c>
      <c r="B198">
        <v>380</v>
      </c>
    </row>
    <row r="200" spans="1:5" x14ac:dyDescent="0.15">
      <c r="A200" t="s">
        <v>70</v>
      </c>
      <c r="B200" t="s">
        <v>168</v>
      </c>
      <c r="C200" t="s">
        <v>169</v>
      </c>
      <c r="D200" t="s">
        <v>170</v>
      </c>
      <c r="E200" t="s">
        <v>171</v>
      </c>
    </row>
    <row r="201" spans="1:5" x14ac:dyDescent="0.15">
      <c r="A201" t="s">
        <v>73</v>
      </c>
      <c r="B201">
        <v>195</v>
      </c>
      <c r="C201">
        <v>0</v>
      </c>
      <c r="D201">
        <v>0</v>
      </c>
      <c r="E201">
        <v>0</v>
      </c>
    </row>
    <row r="202" spans="1:5" x14ac:dyDescent="0.15">
      <c r="A202" t="s">
        <v>74</v>
      </c>
      <c r="B202">
        <v>725</v>
      </c>
      <c r="C202">
        <v>0</v>
      </c>
      <c r="D202">
        <v>0</v>
      </c>
      <c r="E202">
        <v>0</v>
      </c>
    </row>
    <row r="203" spans="1:5" x14ac:dyDescent="0.15">
      <c r="A203" t="s">
        <v>75</v>
      </c>
      <c r="B203">
        <v>924</v>
      </c>
      <c r="C203">
        <v>0</v>
      </c>
      <c r="D203">
        <v>0</v>
      </c>
      <c r="E203">
        <v>0</v>
      </c>
    </row>
    <row r="204" spans="1:5" x14ac:dyDescent="0.15">
      <c r="A204" t="s">
        <v>76</v>
      </c>
      <c r="B204">
        <v>1007</v>
      </c>
      <c r="C204">
        <v>0</v>
      </c>
      <c r="D204">
        <v>0</v>
      </c>
      <c r="E204">
        <v>0</v>
      </c>
    </row>
    <row r="205" spans="1:5" x14ac:dyDescent="0.15">
      <c r="A205" t="s">
        <v>77</v>
      </c>
      <c r="B205">
        <v>712</v>
      </c>
      <c r="C205">
        <v>0</v>
      </c>
      <c r="D205">
        <v>0</v>
      </c>
      <c r="E205">
        <v>0</v>
      </c>
    </row>
    <row r="206" spans="1:5" x14ac:dyDescent="0.15">
      <c r="A206" t="s">
        <v>78</v>
      </c>
      <c r="B206">
        <v>621</v>
      </c>
      <c r="C206">
        <v>0</v>
      </c>
      <c r="D206">
        <v>0</v>
      </c>
      <c r="E206">
        <v>0</v>
      </c>
    </row>
    <row r="207" spans="1:5" x14ac:dyDescent="0.15">
      <c r="A207" t="s">
        <v>79</v>
      </c>
      <c r="B207">
        <v>542</v>
      </c>
      <c r="C207">
        <v>0</v>
      </c>
      <c r="D207">
        <v>0</v>
      </c>
      <c r="E207">
        <v>0</v>
      </c>
    </row>
    <row r="208" spans="1:5" x14ac:dyDescent="0.15">
      <c r="A208" t="s">
        <v>80</v>
      </c>
      <c r="B208">
        <v>441</v>
      </c>
      <c r="C208">
        <v>7</v>
      </c>
      <c r="D208">
        <v>9</v>
      </c>
      <c r="E208">
        <v>11</v>
      </c>
    </row>
    <row r="209" spans="1:5" x14ac:dyDescent="0.15">
      <c r="A209" t="s">
        <v>81</v>
      </c>
      <c r="B209">
        <v>432</v>
      </c>
      <c r="C209">
        <v>32</v>
      </c>
      <c r="D209">
        <v>30</v>
      </c>
      <c r="E209">
        <v>28</v>
      </c>
    </row>
    <row r="210" spans="1:5" x14ac:dyDescent="0.15">
      <c r="A210" t="s">
        <v>82</v>
      </c>
      <c r="B210">
        <v>511</v>
      </c>
      <c r="C210">
        <v>11</v>
      </c>
      <c r="D210">
        <v>11</v>
      </c>
      <c r="E210">
        <v>11</v>
      </c>
    </row>
    <row r="211" spans="1:5" x14ac:dyDescent="0.15">
      <c r="A211" t="s">
        <v>83</v>
      </c>
      <c r="B211">
        <v>410</v>
      </c>
      <c r="C211">
        <v>0</v>
      </c>
      <c r="D211">
        <v>0</v>
      </c>
      <c r="E211">
        <v>0</v>
      </c>
    </row>
    <row r="212" spans="1:5" x14ac:dyDescent="0.15">
      <c r="A212" t="s">
        <v>84</v>
      </c>
      <c r="B212">
        <v>599</v>
      </c>
      <c r="C212">
        <v>0</v>
      </c>
      <c r="D212">
        <v>0</v>
      </c>
      <c r="E212">
        <v>0</v>
      </c>
    </row>
    <row r="213" spans="1:5" x14ac:dyDescent="0.15">
      <c r="A213" t="s">
        <v>85</v>
      </c>
      <c r="B213">
        <v>491</v>
      </c>
      <c r="C213">
        <v>0</v>
      </c>
      <c r="D213">
        <v>0</v>
      </c>
      <c r="E213">
        <v>0</v>
      </c>
    </row>
    <row r="214" spans="1:5" x14ac:dyDescent="0.15">
      <c r="A214" t="s">
        <v>86</v>
      </c>
      <c r="B214">
        <v>652</v>
      </c>
      <c r="C214">
        <v>0</v>
      </c>
      <c r="D214">
        <v>0</v>
      </c>
      <c r="E214">
        <v>0</v>
      </c>
    </row>
    <row r="215" spans="1:5" x14ac:dyDescent="0.15">
      <c r="A215" t="s">
        <v>87</v>
      </c>
      <c r="B215">
        <v>641</v>
      </c>
      <c r="C215">
        <v>0</v>
      </c>
      <c r="D215">
        <v>0</v>
      </c>
      <c r="E215">
        <v>0</v>
      </c>
    </row>
    <row r="216" spans="1:5" x14ac:dyDescent="0.15">
      <c r="A216" t="s">
        <v>88</v>
      </c>
      <c r="B216">
        <v>74</v>
      </c>
      <c r="C216">
        <v>0</v>
      </c>
      <c r="D216">
        <v>0</v>
      </c>
      <c r="E216">
        <v>0</v>
      </c>
    </row>
    <row r="218" spans="1:5" x14ac:dyDescent="0.15">
      <c r="A218" t="s">
        <v>172</v>
      </c>
      <c r="B218" t="s">
        <v>71</v>
      </c>
    </row>
    <row r="219" spans="1:5" x14ac:dyDescent="0.15">
      <c r="A219" t="s">
        <v>173</v>
      </c>
      <c r="B219">
        <v>1506</v>
      </c>
    </row>
    <row r="220" spans="1:5" x14ac:dyDescent="0.15">
      <c r="A220" t="s">
        <v>174</v>
      </c>
      <c r="B220">
        <v>1334</v>
      </c>
    </row>
    <row r="221" spans="1:5" x14ac:dyDescent="0.15">
      <c r="A221" t="s">
        <v>175</v>
      </c>
      <c r="B221">
        <v>1436</v>
      </c>
    </row>
    <row r="222" spans="1:5" x14ac:dyDescent="0.15">
      <c r="A222" t="s">
        <v>176</v>
      </c>
      <c r="B222">
        <v>1321</v>
      </c>
    </row>
    <row r="223" spans="1:5" x14ac:dyDescent="0.15">
      <c r="A223" t="s">
        <v>177</v>
      </c>
      <c r="B223">
        <v>1270</v>
      </c>
    </row>
    <row r="224" spans="1:5" x14ac:dyDescent="0.15">
      <c r="A224" t="s">
        <v>178</v>
      </c>
      <c r="B224">
        <v>1040</v>
      </c>
    </row>
    <row r="225" spans="1:2" x14ac:dyDescent="0.15">
      <c r="A225" t="s">
        <v>179</v>
      </c>
      <c r="B225">
        <v>1070</v>
      </c>
    </row>
    <row r="227" spans="1:2" x14ac:dyDescent="0.15">
      <c r="A227" t="s">
        <v>37</v>
      </c>
      <c r="B227" t="s">
        <v>71</v>
      </c>
    </row>
    <row r="228" spans="1:2" x14ac:dyDescent="0.15">
      <c r="A228" t="s">
        <v>180</v>
      </c>
      <c r="B228">
        <v>2</v>
      </c>
    </row>
    <row r="229" spans="1:2" x14ac:dyDescent="0.15">
      <c r="A229" t="s">
        <v>181</v>
      </c>
      <c r="B229">
        <v>1</v>
      </c>
    </row>
    <row r="230" spans="1:2" x14ac:dyDescent="0.15">
      <c r="A230" t="s">
        <v>182</v>
      </c>
      <c r="B230">
        <v>2</v>
      </c>
    </row>
    <row r="232" spans="1:2" x14ac:dyDescent="0.15">
      <c r="A232" t="s">
        <v>40</v>
      </c>
      <c r="B232" t="s">
        <v>71</v>
      </c>
    </row>
    <row r="233" spans="1:2" x14ac:dyDescent="0.15">
      <c r="A233" t="s">
        <v>44</v>
      </c>
      <c r="B233">
        <v>2</v>
      </c>
    </row>
    <row r="234" spans="1:2" x14ac:dyDescent="0.15">
      <c r="A234" t="s">
        <v>47</v>
      </c>
      <c r="B234">
        <v>2</v>
      </c>
    </row>
    <row r="235" spans="1:2" x14ac:dyDescent="0.15">
      <c r="A235" t="s">
        <v>183</v>
      </c>
      <c r="B235">
        <v>1</v>
      </c>
    </row>
  </sheetData>
  <phoneticPr fontId="13" type="noConversion"/>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B82F6"/>
    <pageSetUpPr fitToPage="1"/>
  </sheetPr>
  <dimension ref="A1:K130"/>
  <sheetViews>
    <sheetView workbookViewId="0">
      <selection activeCell="A134" sqref="A134"/>
    </sheetView>
  </sheetViews>
  <sheetFormatPr defaultRowHeight="13.5" x14ac:dyDescent="0.15"/>
  <cols>
    <col min="1" max="1" width="32" customWidth="1"/>
    <col min="2" max="4" width="10" customWidth="1"/>
    <col min="5" max="5" width="15" customWidth="1"/>
    <col min="6" max="6" width="10" customWidth="1"/>
    <col min="7" max="7" width="11" customWidth="1"/>
    <col min="8" max="8" width="10" customWidth="1"/>
    <col min="9" max="9" width="12" customWidth="1"/>
    <col min="10" max="10" width="11" customWidth="1"/>
    <col min="11" max="11" width="14" customWidth="1"/>
  </cols>
  <sheetData>
    <row r="1" spans="1:11" ht="36" customHeight="1" x14ac:dyDescent="0.15">
      <c r="A1" s="9" t="s">
        <v>24</v>
      </c>
      <c r="B1" s="8"/>
      <c r="C1" s="8"/>
      <c r="D1" s="8"/>
      <c r="E1" s="8"/>
      <c r="F1" s="8"/>
      <c r="G1" s="8"/>
      <c r="H1" s="8"/>
      <c r="I1" s="8"/>
      <c r="J1" s="8"/>
    </row>
    <row r="2" spans="1:11" ht="21.95" customHeight="1" x14ac:dyDescent="0.15">
      <c r="A2" s="15" t="s">
        <v>1</v>
      </c>
      <c r="B2" s="8"/>
      <c r="C2" s="8"/>
      <c r="D2" s="8"/>
      <c r="E2" s="8"/>
      <c r="F2" s="8"/>
      <c r="G2" s="8"/>
      <c r="H2" s="8"/>
      <c r="I2" s="8"/>
      <c r="J2" s="8"/>
    </row>
    <row r="3" spans="1:11" ht="9.9499999999999993" customHeight="1" x14ac:dyDescent="0.15"/>
    <row r="4" spans="1:11" ht="26.1" customHeight="1" x14ac:dyDescent="0.15">
      <c r="A4" s="10" t="s">
        <v>184</v>
      </c>
      <c r="B4" s="8"/>
      <c r="C4" s="8"/>
      <c r="D4" s="8"/>
      <c r="E4" s="8"/>
      <c r="F4" s="8"/>
      <c r="G4" s="8"/>
      <c r="H4" s="8"/>
      <c r="I4" s="8"/>
      <c r="J4" s="8"/>
    </row>
    <row r="5" spans="1:11" ht="26.1" customHeight="1" x14ac:dyDescent="0.15">
      <c r="A5" s="10" t="s">
        <v>185</v>
      </c>
      <c r="B5" s="8"/>
      <c r="C5" s="8"/>
      <c r="D5" s="8"/>
      <c r="E5" s="8"/>
      <c r="F5" s="8"/>
      <c r="G5" s="8"/>
      <c r="H5" s="8"/>
      <c r="I5" s="8"/>
      <c r="J5" s="8"/>
    </row>
    <row r="6" spans="1:11" ht="20.100000000000001" customHeight="1" x14ac:dyDescent="0.15">
      <c r="A6" s="1" t="s">
        <v>37</v>
      </c>
      <c r="B6" s="1" t="s">
        <v>71</v>
      </c>
      <c r="C6" s="1" t="s">
        <v>186</v>
      </c>
      <c r="D6" s="1" t="s">
        <v>187</v>
      </c>
      <c r="E6" s="1" t="s">
        <v>188</v>
      </c>
      <c r="F6" s="1" t="s">
        <v>189</v>
      </c>
      <c r="G6" s="1" t="s">
        <v>131</v>
      </c>
      <c r="H6" s="1" t="s">
        <v>133</v>
      </c>
      <c r="I6" s="1" t="s">
        <v>190</v>
      </c>
      <c r="J6" s="1" t="s">
        <v>191</v>
      </c>
      <c r="K6" s="1" t="s">
        <v>192</v>
      </c>
    </row>
    <row r="7" spans="1:11" ht="18" customHeight="1" x14ac:dyDescent="0.15">
      <c r="A7" s="2" t="s">
        <v>89</v>
      </c>
      <c r="B7" s="5">
        <v>4042</v>
      </c>
      <c r="C7" s="2" t="s">
        <v>193</v>
      </c>
      <c r="D7" s="2" t="s">
        <v>193</v>
      </c>
      <c r="E7" s="2" t="s">
        <v>194</v>
      </c>
      <c r="F7" s="2" t="s">
        <v>195</v>
      </c>
      <c r="G7" s="2" t="s">
        <v>196</v>
      </c>
      <c r="H7" s="2" t="s">
        <v>197</v>
      </c>
      <c r="I7" s="2" t="s">
        <v>17</v>
      </c>
      <c r="J7" s="2" t="s">
        <v>198</v>
      </c>
      <c r="K7" s="5">
        <v>13</v>
      </c>
    </row>
    <row r="8" spans="1:11" ht="18" customHeight="1" x14ac:dyDescent="0.15">
      <c r="A8" s="3" t="s">
        <v>90</v>
      </c>
      <c r="B8" s="6">
        <v>448</v>
      </c>
      <c r="C8" s="3" t="s">
        <v>199</v>
      </c>
      <c r="D8" s="3" t="s">
        <v>200</v>
      </c>
      <c r="E8" s="3" t="s">
        <v>201</v>
      </c>
      <c r="F8" s="3" t="s">
        <v>202</v>
      </c>
      <c r="G8" s="3" t="s">
        <v>196</v>
      </c>
      <c r="H8" s="3" t="s">
        <v>203</v>
      </c>
      <c r="I8" s="3" t="s">
        <v>17</v>
      </c>
      <c r="J8" s="3" t="s">
        <v>204</v>
      </c>
      <c r="K8" s="6">
        <v>417</v>
      </c>
    </row>
    <row r="9" spans="1:11" ht="18" customHeight="1" x14ac:dyDescent="0.15">
      <c r="A9" s="2" t="s">
        <v>91</v>
      </c>
      <c r="B9" s="5">
        <v>3141</v>
      </c>
      <c r="C9" s="2" t="s">
        <v>205</v>
      </c>
      <c r="D9" s="2" t="s">
        <v>206</v>
      </c>
      <c r="E9" s="2" t="s">
        <v>195</v>
      </c>
      <c r="F9" s="2" t="s">
        <v>207</v>
      </c>
      <c r="G9" s="2" t="s">
        <v>196</v>
      </c>
      <c r="H9" s="2" t="s">
        <v>208</v>
      </c>
      <c r="I9" s="2" t="s">
        <v>17</v>
      </c>
      <c r="J9" s="2" t="s">
        <v>209</v>
      </c>
      <c r="K9" s="5">
        <v>1646</v>
      </c>
    </row>
    <row r="10" spans="1:11" ht="18" customHeight="1" x14ac:dyDescent="0.15">
      <c r="A10" s="3" t="s">
        <v>92</v>
      </c>
      <c r="B10" s="6">
        <v>1346</v>
      </c>
      <c r="C10" s="3" t="s">
        <v>210</v>
      </c>
      <c r="D10" s="3" t="s">
        <v>211</v>
      </c>
      <c r="E10" s="3" t="s">
        <v>212</v>
      </c>
      <c r="F10" s="3" t="s">
        <v>213</v>
      </c>
      <c r="G10" s="3" t="s">
        <v>196</v>
      </c>
      <c r="H10" s="3" t="s">
        <v>214</v>
      </c>
      <c r="I10" s="3" t="s">
        <v>17</v>
      </c>
      <c r="J10" s="3" t="s">
        <v>215</v>
      </c>
      <c r="K10" s="6">
        <v>1138</v>
      </c>
    </row>
    <row r="11" spans="1:11" ht="9.9499999999999993" customHeight="1" x14ac:dyDescent="0.15"/>
    <row r="12" spans="1:11" ht="26.1" customHeight="1" x14ac:dyDescent="0.15">
      <c r="A12" s="10" t="s">
        <v>216</v>
      </c>
      <c r="B12" s="8"/>
      <c r="C12" s="8"/>
      <c r="D12" s="8"/>
      <c r="E12" s="8"/>
      <c r="F12" s="8"/>
      <c r="G12" s="8"/>
      <c r="H12" s="8"/>
      <c r="I12" s="8"/>
      <c r="J12" s="8"/>
    </row>
    <row r="13" spans="1:11" ht="20.100000000000001" customHeight="1" x14ac:dyDescent="0.15">
      <c r="A13" s="1" t="s">
        <v>93</v>
      </c>
      <c r="B13" s="1" t="s">
        <v>71</v>
      </c>
      <c r="C13" s="1" t="s">
        <v>186</v>
      </c>
      <c r="D13" s="1" t="s">
        <v>187</v>
      </c>
      <c r="E13" s="1" t="s">
        <v>188</v>
      </c>
      <c r="F13" s="1" t="s">
        <v>189</v>
      </c>
      <c r="G13" s="1" t="s">
        <v>217</v>
      </c>
    </row>
    <row r="14" spans="1:11" ht="18" customHeight="1" x14ac:dyDescent="0.15">
      <c r="A14" s="2" t="s">
        <v>94</v>
      </c>
      <c r="B14" s="5">
        <v>3936</v>
      </c>
      <c r="C14" s="2" t="s">
        <v>218</v>
      </c>
      <c r="D14" s="2" t="s">
        <v>218</v>
      </c>
      <c r="E14" s="2" t="s">
        <v>219</v>
      </c>
      <c r="F14" s="2" t="s">
        <v>220</v>
      </c>
      <c r="G14" s="2" t="s">
        <v>221</v>
      </c>
    </row>
    <row r="15" spans="1:11" ht="18" customHeight="1" x14ac:dyDescent="0.15">
      <c r="A15" s="3" t="s">
        <v>95</v>
      </c>
      <c r="B15" s="6">
        <v>809</v>
      </c>
      <c r="C15" s="3" t="s">
        <v>222</v>
      </c>
      <c r="D15" s="3" t="s">
        <v>223</v>
      </c>
      <c r="E15" s="3" t="s">
        <v>224</v>
      </c>
      <c r="F15" s="3" t="s">
        <v>225</v>
      </c>
      <c r="G15" s="3" t="s">
        <v>226</v>
      </c>
    </row>
    <row r="16" spans="1:11" ht="18" customHeight="1" x14ac:dyDescent="0.15">
      <c r="A16" s="2" t="s">
        <v>96</v>
      </c>
      <c r="B16" s="5">
        <v>790</v>
      </c>
      <c r="C16" s="2" t="s">
        <v>227</v>
      </c>
      <c r="D16" s="2" t="s">
        <v>228</v>
      </c>
      <c r="E16" s="2" t="s">
        <v>229</v>
      </c>
      <c r="F16" s="2" t="s">
        <v>230</v>
      </c>
      <c r="G16" s="2" t="s">
        <v>231</v>
      </c>
    </row>
    <row r="17" spans="1:7" ht="18" customHeight="1" x14ac:dyDescent="0.15">
      <c r="A17" s="3" t="s">
        <v>97</v>
      </c>
      <c r="B17" s="6">
        <v>706</v>
      </c>
      <c r="C17" s="3" t="s">
        <v>232</v>
      </c>
      <c r="D17" s="3" t="s">
        <v>233</v>
      </c>
      <c r="E17" s="3" t="s">
        <v>234</v>
      </c>
      <c r="F17" s="3" t="s">
        <v>235</v>
      </c>
      <c r="G17" s="3" t="s">
        <v>236</v>
      </c>
    </row>
    <row r="18" spans="1:7" ht="18" customHeight="1" x14ac:dyDescent="0.15">
      <c r="A18" s="2" t="s">
        <v>98</v>
      </c>
      <c r="B18" s="5">
        <v>656</v>
      </c>
      <c r="C18" s="2" t="s">
        <v>237</v>
      </c>
      <c r="D18" s="2" t="s">
        <v>238</v>
      </c>
      <c r="E18" s="2" t="s">
        <v>239</v>
      </c>
      <c r="F18" s="2" t="s">
        <v>240</v>
      </c>
      <c r="G18" s="2" t="s">
        <v>241</v>
      </c>
    </row>
    <row r="19" spans="1:7" ht="18" customHeight="1" x14ac:dyDescent="0.15">
      <c r="A19" s="3" t="s">
        <v>99</v>
      </c>
      <c r="B19" s="6">
        <v>411</v>
      </c>
      <c r="C19" s="3" t="s">
        <v>242</v>
      </c>
      <c r="D19" s="3" t="s">
        <v>243</v>
      </c>
      <c r="E19" s="3" t="s">
        <v>244</v>
      </c>
      <c r="F19" s="3" t="s">
        <v>245</v>
      </c>
      <c r="G19" s="3" t="s">
        <v>246</v>
      </c>
    </row>
    <row r="20" spans="1:7" ht="18" customHeight="1" x14ac:dyDescent="0.15">
      <c r="A20" s="2" t="s">
        <v>100</v>
      </c>
      <c r="B20" s="5">
        <v>320</v>
      </c>
      <c r="C20" s="2" t="s">
        <v>247</v>
      </c>
      <c r="D20" s="2" t="s">
        <v>206</v>
      </c>
      <c r="E20" s="2" t="s">
        <v>248</v>
      </c>
      <c r="F20" s="2" t="s">
        <v>248</v>
      </c>
      <c r="G20" s="2" t="s">
        <v>249</v>
      </c>
    </row>
    <row r="21" spans="1:7" ht="18" customHeight="1" x14ac:dyDescent="0.15">
      <c r="A21" s="3" t="s">
        <v>101</v>
      </c>
      <c r="B21" s="6">
        <v>311</v>
      </c>
      <c r="C21" s="3" t="s">
        <v>250</v>
      </c>
      <c r="D21" s="3" t="s">
        <v>251</v>
      </c>
      <c r="E21" s="3" t="s">
        <v>252</v>
      </c>
      <c r="F21" s="3" t="s">
        <v>253</v>
      </c>
      <c r="G21" s="3" t="s">
        <v>254</v>
      </c>
    </row>
    <row r="22" spans="1:7" ht="18" customHeight="1" x14ac:dyDescent="0.15">
      <c r="A22" s="2" t="s">
        <v>102</v>
      </c>
      <c r="B22" s="5">
        <v>266</v>
      </c>
      <c r="C22" s="2" t="s">
        <v>255</v>
      </c>
      <c r="D22" s="2" t="s">
        <v>256</v>
      </c>
      <c r="E22" s="2" t="s">
        <v>257</v>
      </c>
      <c r="F22" s="2" t="s">
        <v>258</v>
      </c>
      <c r="G22" s="2" t="s">
        <v>259</v>
      </c>
    </row>
    <row r="23" spans="1:7" ht="18" customHeight="1" x14ac:dyDescent="0.15">
      <c r="A23" s="3" t="s">
        <v>103</v>
      </c>
      <c r="B23" s="6">
        <v>220</v>
      </c>
      <c r="C23" s="3" t="s">
        <v>260</v>
      </c>
      <c r="D23" s="3" t="s">
        <v>261</v>
      </c>
      <c r="E23" s="3" t="s">
        <v>262</v>
      </c>
      <c r="F23" s="3" t="s">
        <v>263</v>
      </c>
      <c r="G23" s="3" t="s">
        <v>264</v>
      </c>
    </row>
    <row r="24" spans="1:7" ht="18" customHeight="1" x14ac:dyDescent="0.15">
      <c r="A24" s="2" t="s">
        <v>265</v>
      </c>
      <c r="B24" s="5">
        <v>215</v>
      </c>
      <c r="C24" s="2" t="s">
        <v>266</v>
      </c>
      <c r="D24" s="2" t="s">
        <v>267</v>
      </c>
      <c r="E24" s="2" t="s">
        <v>268</v>
      </c>
      <c r="F24" s="2" t="s">
        <v>269</v>
      </c>
      <c r="G24" s="2" t="s">
        <v>270</v>
      </c>
    </row>
    <row r="25" spans="1:7" ht="18" customHeight="1" x14ac:dyDescent="0.15">
      <c r="A25" s="3" t="s">
        <v>271</v>
      </c>
      <c r="B25" s="6">
        <v>83</v>
      </c>
      <c r="C25" s="3" t="s">
        <v>272</v>
      </c>
      <c r="D25" s="3" t="s">
        <v>273</v>
      </c>
      <c r="E25" s="3" t="s">
        <v>274</v>
      </c>
      <c r="F25" s="3" t="s">
        <v>225</v>
      </c>
      <c r="G25" s="3" t="s">
        <v>249</v>
      </c>
    </row>
    <row r="26" spans="1:7" ht="18" customHeight="1" x14ac:dyDescent="0.15">
      <c r="A26" s="2" t="s">
        <v>275</v>
      </c>
      <c r="B26" s="5">
        <v>75</v>
      </c>
      <c r="C26" s="2" t="s">
        <v>276</v>
      </c>
      <c r="D26" s="2" t="s">
        <v>277</v>
      </c>
      <c r="E26" s="2" t="s">
        <v>278</v>
      </c>
      <c r="F26" s="2" t="s">
        <v>279</v>
      </c>
      <c r="G26" s="2" t="s">
        <v>280</v>
      </c>
    </row>
    <row r="27" spans="1:7" ht="18" customHeight="1" x14ac:dyDescent="0.15">
      <c r="A27" s="3" t="s">
        <v>281</v>
      </c>
      <c r="B27" s="6">
        <v>62</v>
      </c>
      <c r="C27" s="3" t="s">
        <v>282</v>
      </c>
      <c r="D27" s="3" t="s">
        <v>283</v>
      </c>
      <c r="E27" s="3" t="s">
        <v>284</v>
      </c>
      <c r="F27" s="3" t="s">
        <v>195</v>
      </c>
      <c r="G27" s="3" t="s">
        <v>285</v>
      </c>
    </row>
    <row r="28" spans="1:7" ht="18" customHeight="1" x14ac:dyDescent="0.15">
      <c r="A28" s="2" t="s">
        <v>286</v>
      </c>
      <c r="B28" s="5">
        <v>51</v>
      </c>
      <c r="C28" s="2" t="s">
        <v>287</v>
      </c>
      <c r="D28" s="2" t="s">
        <v>288</v>
      </c>
      <c r="E28" s="2" t="s">
        <v>289</v>
      </c>
      <c r="F28" s="2" t="s">
        <v>290</v>
      </c>
      <c r="G28" s="2" t="s">
        <v>291</v>
      </c>
    </row>
    <row r="29" spans="1:7" ht="18" customHeight="1" x14ac:dyDescent="0.15">
      <c r="A29" s="3" t="s">
        <v>292</v>
      </c>
      <c r="B29" s="6">
        <v>31</v>
      </c>
      <c r="C29" s="3" t="s">
        <v>293</v>
      </c>
      <c r="D29" s="3" t="s">
        <v>294</v>
      </c>
      <c r="E29" s="3" t="s">
        <v>295</v>
      </c>
      <c r="F29" s="3" t="s">
        <v>296</v>
      </c>
      <c r="G29" s="3" t="s">
        <v>297</v>
      </c>
    </row>
    <row r="30" spans="1:7" ht="18" customHeight="1" x14ac:dyDescent="0.15">
      <c r="A30" s="2" t="s">
        <v>298</v>
      </c>
      <c r="B30" s="5">
        <v>23</v>
      </c>
      <c r="C30" s="2" t="s">
        <v>293</v>
      </c>
      <c r="D30" s="2" t="s">
        <v>299</v>
      </c>
      <c r="E30" s="2" t="s">
        <v>300</v>
      </c>
      <c r="F30" s="2" t="s">
        <v>301</v>
      </c>
      <c r="G30" s="2" t="s">
        <v>249</v>
      </c>
    </row>
    <row r="31" spans="1:7" ht="18" customHeight="1" x14ac:dyDescent="0.15">
      <c r="A31" s="3" t="s">
        <v>302</v>
      </c>
      <c r="B31" s="6">
        <v>7</v>
      </c>
      <c r="C31" s="3" t="s">
        <v>303</v>
      </c>
      <c r="D31" s="3" t="s">
        <v>299</v>
      </c>
      <c r="E31" s="3" t="s">
        <v>304</v>
      </c>
      <c r="F31" s="3" t="s">
        <v>305</v>
      </c>
      <c r="G31" s="3" t="s">
        <v>306</v>
      </c>
    </row>
    <row r="32" spans="1:7" ht="18" customHeight="1" x14ac:dyDescent="0.15">
      <c r="A32" s="2" t="s">
        <v>307</v>
      </c>
      <c r="B32" s="5">
        <v>5</v>
      </c>
      <c r="C32" s="2" t="s">
        <v>303</v>
      </c>
      <c r="D32" s="2" t="s">
        <v>211</v>
      </c>
      <c r="E32" s="2" t="s">
        <v>308</v>
      </c>
      <c r="F32" s="2" t="s">
        <v>309</v>
      </c>
      <c r="G32" s="2" t="s">
        <v>310</v>
      </c>
    </row>
    <row r="33" spans="1:10" ht="9.9499999999999993" customHeight="1" x14ac:dyDescent="0.15"/>
    <row r="34" spans="1:10" ht="26.1" customHeight="1" x14ac:dyDescent="0.15">
      <c r="A34" s="16" t="s">
        <v>33</v>
      </c>
      <c r="B34" s="17"/>
      <c r="C34" s="17"/>
      <c r="D34" s="17"/>
      <c r="E34" s="17"/>
      <c r="F34" s="17"/>
      <c r="G34" s="17"/>
      <c r="H34" s="17"/>
      <c r="I34" s="17"/>
      <c r="J34" s="17"/>
    </row>
    <row r="35" spans="1:10" ht="15.95" customHeight="1" x14ac:dyDescent="0.15">
      <c r="A35" s="14" t="s">
        <v>311</v>
      </c>
      <c r="B35" s="8"/>
      <c r="C35" s="8"/>
      <c r="D35" s="8"/>
      <c r="E35" s="8"/>
      <c r="F35" s="8"/>
      <c r="G35" s="8"/>
      <c r="H35" s="8"/>
      <c r="I35" s="8"/>
      <c r="J35" s="8"/>
    </row>
    <row r="62" spans="1:10" ht="15.95" customHeight="1" x14ac:dyDescent="0.15">
      <c r="A62" s="14" t="s">
        <v>312</v>
      </c>
      <c r="B62" s="8"/>
      <c r="C62" s="8"/>
      <c r="D62" s="8"/>
      <c r="E62" s="8"/>
      <c r="F62" s="8"/>
      <c r="G62" s="8"/>
      <c r="H62" s="8"/>
      <c r="I62" s="8"/>
      <c r="J62" s="8"/>
    </row>
    <row r="89" spans="1:10" ht="15.95" customHeight="1" x14ac:dyDescent="0.15">
      <c r="A89" s="14" t="s">
        <v>313</v>
      </c>
      <c r="B89" s="8"/>
      <c r="C89" s="8"/>
      <c r="D89" s="8"/>
      <c r="E89" s="8"/>
      <c r="F89" s="8"/>
      <c r="G89" s="8"/>
      <c r="H89" s="8"/>
      <c r="I89" s="8"/>
      <c r="J89" s="8"/>
    </row>
    <row r="116" spans="1:10" ht="9.9499999999999993" customHeight="1" x14ac:dyDescent="0.15"/>
    <row r="117" spans="1:10" ht="15" x14ac:dyDescent="0.15">
      <c r="A117" s="11" t="s">
        <v>53</v>
      </c>
      <c r="B117" s="8"/>
      <c r="C117" s="8"/>
      <c r="D117" s="8"/>
      <c r="E117" s="8"/>
      <c r="F117" s="8"/>
      <c r="G117" s="8"/>
      <c r="H117" s="8"/>
      <c r="I117" s="8"/>
      <c r="J117" s="8"/>
    </row>
    <row r="118" spans="1:10" x14ac:dyDescent="0.15">
      <c r="A118" s="12" t="s">
        <v>314</v>
      </c>
      <c r="B118" s="8"/>
      <c r="C118" s="8"/>
      <c r="D118" s="8"/>
      <c r="E118" s="8"/>
      <c r="F118" s="8"/>
      <c r="G118" s="8"/>
      <c r="H118" s="8"/>
      <c r="I118" s="8"/>
      <c r="J118" s="8"/>
    </row>
    <row r="120" spans="1:10" x14ac:dyDescent="0.15">
      <c r="A120" s="12" t="s">
        <v>315</v>
      </c>
      <c r="B120" s="8"/>
      <c r="C120" s="8"/>
      <c r="D120" s="8"/>
      <c r="E120" s="8"/>
      <c r="F120" s="8"/>
      <c r="G120" s="8"/>
      <c r="H120" s="8"/>
      <c r="I120" s="8"/>
      <c r="J120" s="8"/>
    </row>
    <row r="122" spans="1:10" x14ac:dyDescent="0.15">
      <c r="A122" s="12" t="s">
        <v>316</v>
      </c>
      <c r="B122" s="8"/>
      <c r="C122" s="8"/>
      <c r="D122" s="8"/>
      <c r="E122" s="8"/>
      <c r="F122" s="8"/>
      <c r="G122" s="8"/>
      <c r="H122" s="8"/>
      <c r="I122" s="8"/>
      <c r="J122" s="8"/>
    </row>
    <row r="123" spans="1:10" x14ac:dyDescent="0.15">
      <c r="A123" s="7" t="s">
        <v>317</v>
      </c>
      <c r="B123" s="8"/>
      <c r="C123" s="8"/>
      <c r="D123" s="8"/>
      <c r="E123" s="8"/>
      <c r="F123" s="8"/>
      <c r="G123" s="8"/>
      <c r="H123" s="8"/>
      <c r="I123" s="8"/>
      <c r="J123" s="8"/>
    </row>
    <row r="124" spans="1:10" x14ac:dyDescent="0.15">
      <c r="A124" s="7" t="s">
        <v>318</v>
      </c>
      <c r="B124" s="8"/>
      <c r="C124" s="8"/>
      <c r="D124" s="8"/>
      <c r="E124" s="8"/>
      <c r="F124" s="8"/>
      <c r="G124" s="8"/>
      <c r="H124" s="8"/>
      <c r="I124" s="8"/>
      <c r="J124" s="8"/>
    </row>
    <row r="125" spans="1:10" x14ac:dyDescent="0.15">
      <c r="A125" s="7" t="s">
        <v>319</v>
      </c>
      <c r="B125" s="8"/>
      <c r="C125" s="8"/>
      <c r="D125" s="8"/>
      <c r="E125" s="8"/>
      <c r="F125" s="8"/>
      <c r="G125" s="8"/>
      <c r="H125" s="8"/>
      <c r="I125" s="8"/>
      <c r="J125" s="8"/>
    </row>
    <row r="127" spans="1:10" x14ac:dyDescent="0.15">
      <c r="A127" s="12" t="s">
        <v>320</v>
      </c>
      <c r="B127" s="8"/>
      <c r="C127" s="8"/>
      <c r="D127" s="8"/>
      <c r="E127" s="8"/>
      <c r="F127" s="8"/>
      <c r="G127" s="8"/>
      <c r="H127" s="8"/>
      <c r="I127" s="8"/>
      <c r="J127" s="8"/>
    </row>
    <row r="128" spans="1:10" ht="9.9499999999999993" customHeight="1" x14ac:dyDescent="0.15"/>
    <row r="129" spans="1:10" ht="9.9499999999999993" customHeight="1" x14ac:dyDescent="0.15"/>
    <row r="130" spans="1:10" x14ac:dyDescent="0.15">
      <c r="A130" s="13" t="s">
        <v>62</v>
      </c>
      <c r="B130" s="8"/>
      <c r="C130" s="8"/>
      <c r="D130" s="8"/>
      <c r="E130" s="8"/>
      <c r="F130" s="8"/>
      <c r="G130" s="8"/>
      <c r="H130" s="8"/>
      <c r="I130" s="8"/>
      <c r="J130" s="8"/>
    </row>
  </sheetData>
  <mergeCells count="18">
    <mergeCell ref="A130:J130"/>
    <mergeCell ref="A125:J125"/>
    <mergeCell ref="A2:J2"/>
    <mergeCell ref="A123:J123"/>
    <mergeCell ref="A127:J127"/>
    <mergeCell ref="A62:J62"/>
    <mergeCell ref="A120:J120"/>
    <mergeCell ref="A122:J122"/>
    <mergeCell ref="A124:J124"/>
    <mergeCell ref="A1:J1"/>
    <mergeCell ref="A5:J5"/>
    <mergeCell ref="A117:J117"/>
    <mergeCell ref="A118:J118"/>
    <mergeCell ref="A89:J89"/>
    <mergeCell ref="A34:J34"/>
    <mergeCell ref="A12:J12"/>
    <mergeCell ref="A4:J4"/>
    <mergeCell ref="A35:J35"/>
  </mergeCells>
  <phoneticPr fontId="13" type="noConversion"/>
  <pageMargins left="0.75" right="0.75" top="1" bottom="1" header="0.5" footer="0.5"/>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F4444"/>
    <pageSetUpPr fitToPage="1"/>
  </sheetPr>
  <dimension ref="A1:J124"/>
  <sheetViews>
    <sheetView tabSelected="1" topLeftCell="A116" zoomScale="120" zoomScaleNormal="120" workbookViewId="0">
      <selection activeCell="D43" sqref="D43"/>
    </sheetView>
  </sheetViews>
  <sheetFormatPr defaultRowHeight="13.5" x14ac:dyDescent="0.15"/>
  <cols>
    <col min="1" max="1" width="28" customWidth="1"/>
    <col min="2" max="3" width="10" customWidth="1"/>
    <col min="4" max="4" width="16" customWidth="1"/>
    <col min="5" max="5" width="48" customWidth="1"/>
    <col min="6" max="6" width="21" customWidth="1"/>
    <col min="7" max="7" width="13" customWidth="1"/>
    <col min="8" max="8" width="32" customWidth="1"/>
  </cols>
  <sheetData>
    <row r="1" spans="1:10" ht="36" customHeight="1" x14ac:dyDescent="0.15">
      <c r="A1" s="9" t="s">
        <v>25</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184</v>
      </c>
      <c r="B4" s="8"/>
      <c r="C4" s="8"/>
      <c r="D4" s="8"/>
      <c r="E4" s="8"/>
      <c r="F4" s="8"/>
      <c r="G4" s="8"/>
      <c r="H4" s="8"/>
      <c r="I4" s="8"/>
      <c r="J4" s="8"/>
    </row>
    <row r="5" spans="1:10" ht="26.1" customHeight="1" x14ac:dyDescent="0.15">
      <c r="A5" s="10" t="s">
        <v>321</v>
      </c>
      <c r="B5" s="8"/>
      <c r="C5" s="8"/>
      <c r="D5" s="8"/>
      <c r="E5" s="8"/>
      <c r="F5" s="8"/>
      <c r="G5" s="8"/>
      <c r="H5" s="8"/>
      <c r="I5" s="8"/>
      <c r="J5" s="8"/>
    </row>
    <row r="6" spans="1:10" ht="20.100000000000001" customHeight="1" x14ac:dyDescent="0.15">
      <c r="A6" s="1" t="s">
        <v>37</v>
      </c>
      <c r="B6" s="1" t="s">
        <v>322</v>
      </c>
      <c r="C6" s="1" t="s">
        <v>114</v>
      </c>
      <c r="D6" s="1" t="s">
        <v>323</v>
      </c>
      <c r="E6" s="1" t="s">
        <v>324</v>
      </c>
    </row>
    <row r="7" spans="1:10" ht="18" customHeight="1" x14ac:dyDescent="0.15">
      <c r="A7" s="2" t="s">
        <v>90</v>
      </c>
      <c r="B7" s="2" t="s">
        <v>204</v>
      </c>
      <c r="C7" s="5">
        <v>448</v>
      </c>
      <c r="D7" s="5">
        <v>31</v>
      </c>
      <c r="E7" s="5">
        <v>2</v>
      </c>
    </row>
    <row r="8" spans="1:10" ht="18" customHeight="1" x14ac:dyDescent="0.15">
      <c r="A8" s="3" t="s">
        <v>92</v>
      </c>
      <c r="B8" s="3" t="s">
        <v>215</v>
      </c>
      <c r="C8" s="6">
        <v>1346</v>
      </c>
      <c r="D8" s="6">
        <v>208</v>
      </c>
      <c r="E8" s="6">
        <v>6</v>
      </c>
    </row>
    <row r="9" spans="1:10" ht="18" customHeight="1" x14ac:dyDescent="0.15">
      <c r="A9" s="2" t="s">
        <v>91</v>
      </c>
      <c r="B9" s="2" t="s">
        <v>209</v>
      </c>
      <c r="C9" s="5">
        <v>3141</v>
      </c>
      <c r="D9" s="5">
        <v>1495</v>
      </c>
      <c r="E9" s="5">
        <v>24</v>
      </c>
    </row>
    <row r="10" spans="1:10" ht="18" customHeight="1" x14ac:dyDescent="0.15">
      <c r="A10" s="3" t="s">
        <v>89</v>
      </c>
      <c r="B10" s="3" t="s">
        <v>198</v>
      </c>
      <c r="C10" s="6">
        <v>4042</v>
      </c>
      <c r="D10" s="6">
        <v>4029</v>
      </c>
      <c r="E10" s="6">
        <v>48</v>
      </c>
    </row>
    <row r="11" spans="1:10" ht="9.9499999999999993" customHeight="1" x14ac:dyDescent="0.15"/>
    <row r="12" spans="1:10" ht="26.1" customHeight="1" x14ac:dyDescent="0.15">
      <c r="A12" s="10" t="s">
        <v>325</v>
      </c>
      <c r="B12" s="8"/>
      <c r="C12" s="8"/>
      <c r="D12" s="8"/>
      <c r="E12" s="8"/>
      <c r="F12" s="8"/>
      <c r="G12" s="8"/>
      <c r="H12" s="8"/>
      <c r="I12" s="8"/>
      <c r="J12" s="8"/>
    </row>
    <row r="13" spans="1:10" ht="20.100000000000001" customHeight="1" x14ac:dyDescent="0.15">
      <c r="A13" s="1" t="s">
        <v>326</v>
      </c>
      <c r="B13" s="1" t="s">
        <v>37</v>
      </c>
      <c r="C13" s="1" t="s">
        <v>93</v>
      </c>
      <c r="D13" s="1" t="s">
        <v>108</v>
      </c>
      <c r="E13" s="1" t="s">
        <v>327</v>
      </c>
      <c r="F13" s="1" t="s">
        <v>328</v>
      </c>
      <c r="G13" s="1" t="s">
        <v>5</v>
      </c>
      <c r="H13" s="1" t="s">
        <v>329</v>
      </c>
    </row>
    <row r="14" spans="1:10" ht="18" customHeight="1" x14ac:dyDescent="0.15">
      <c r="A14" s="2" t="s">
        <v>330</v>
      </c>
      <c r="B14" s="2" t="s">
        <v>90</v>
      </c>
      <c r="C14" s="2" t="s">
        <v>94</v>
      </c>
      <c r="D14" s="2" t="s">
        <v>331</v>
      </c>
      <c r="E14" s="2" t="s">
        <v>332</v>
      </c>
      <c r="F14" s="2" t="s">
        <v>156</v>
      </c>
      <c r="G14" s="2" t="s">
        <v>333</v>
      </c>
      <c r="H14" s="2" t="s">
        <v>334</v>
      </c>
    </row>
    <row r="15" spans="1:10" ht="18" customHeight="1" x14ac:dyDescent="0.15">
      <c r="A15" s="3" t="s">
        <v>335</v>
      </c>
      <c r="B15" s="3" t="s">
        <v>91</v>
      </c>
      <c r="C15" s="3" t="s">
        <v>96</v>
      </c>
      <c r="D15" s="3" t="s">
        <v>331</v>
      </c>
      <c r="E15" s="3" t="s">
        <v>336</v>
      </c>
      <c r="F15" s="3" t="s">
        <v>337</v>
      </c>
      <c r="G15" s="3" t="s">
        <v>333</v>
      </c>
      <c r="H15" s="3" t="s">
        <v>338</v>
      </c>
    </row>
    <row r="16" spans="1:10" ht="18" customHeight="1" x14ac:dyDescent="0.15">
      <c r="A16" s="2" t="s">
        <v>339</v>
      </c>
      <c r="B16" s="2" t="s">
        <v>92</v>
      </c>
      <c r="C16" s="2" t="s">
        <v>102</v>
      </c>
      <c r="D16" s="2" t="s">
        <v>331</v>
      </c>
      <c r="E16" s="2" t="s">
        <v>340</v>
      </c>
      <c r="F16" s="2" t="s">
        <v>164</v>
      </c>
      <c r="G16" s="2" t="s">
        <v>333</v>
      </c>
      <c r="H16" s="2" t="s">
        <v>341</v>
      </c>
    </row>
    <row r="17" spans="1:8" ht="18" customHeight="1" x14ac:dyDescent="0.15">
      <c r="A17" s="3" t="s">
        <v>342</v>
      </c>
      <c r="B17" s="3" t="s">
        <v>91</v>
      </c>
      <c r="C17" s="3" t="s">
        <v>103</v>
      </c>
      <c r="D17" s="3" t="s">
        <v>331</v>
      </c>
      <c r="E17" s="3" t="s">
        <v>343</v>
      </c>
      <c r="F17" s="3" t="s">
        <v>153</v>
      </c>
      <c r="G17" s="3" t="s">
        <v>333</v>
      </c>
      <c r="H17" s="3" t="s">
        <v>344</v>
      </c>
    </row>
    <row r="18" spans="1:8" ht="18" customHeight="1" x14ac:dyDescent="0.15">
      <c r="A18" s="2" t="s">
        <v>345</v>
      </c>
      <c r="B18" s="2" t="s">
        <v>91</v>
      </c>
      <c r="C18" s="2" t="s">
        <v>99</v>
      </c>
      <c r="D18" s="2" t="s">
        <v>331</v>
      </c>
      <c r="E18" s="2" t="s">
        <v>346</v>
      </c>
      <c r="F18" s="2" t="s">
        <v>347</v>
      </c>
      <c r="G18" s="2" t="s">
        <v>333</v>
      </c>
      <c r="H18" s="2" t="s">
        <v>348</v>
      </c>
    </row>
    <row r="19" spans="1:8" ht="18" customHeight="1" x14ac:dyDescent="0.15">
      <c r="A19" s="3" t="s">
        <v>349</v>
      </c>
      <c r="B19" s="3" t="s">
        <v>91</v>
      </c>
      <c r="C19" s="3" t="s">
        <v>94</v>
      </c>
      <c r="D19" s="3" t="s">
        <v>331</v>
      </c>
      <c r="E19" s="3" t="s">
        <v>350</v>
      </c>
      <c r="F19" s="3" t="s">
        <v>351</v>
      </c>
      <c r="G19" s="3" t="s">
        <v>333</v>
      </c>
      <c r="H19" s="3" t="s">
        <v>352</v>
      </c>
    </row>
    <row r="20" spans="1:8" ht="18" customHeight="1" x14ac:dyDescent="0.15">
      <c r="A20" s="2" t="s">
        <v>353</v>
      </c>
      <c r="B20" s="2" t="s">
        <v>91</v>
      </c>
      <c r="C20" s="2" t="s">
        <v>94</v>
      </c>
      <c r="D20" s="2" t="s">
        <v>331</v>
      </c>
      <c r="E20" s="2" t="s">
        <v>354</v>
      </c>
      <c r="F20" s="2" t="s">
        <v>159</v>
      </c>
      <c r="G20" s="2" t="s">
        <v>333</v>
      </c>
      <c r="H20" s="2" t="s">
        <v>355</v>
      </c>
    </row>
    <row r="21" spans="1:8" ht="18" customHeight="1" x14ac:dyDescent="0.15">
      <c r="A21" s="3" t="s">
        <v>356</v>
      </c>
      <c r="B21" s="3" t="s">
        <v>92</v>
      </c>
      <c r="C21" s="3" t="s">
        <v>94</v>
      </c>
      <c r="D21" s="3" t="s">
        <v>331</v>
      </c>
      <c r="E21" s="3" t="s">
        <v>357</v>
      </c>
      <c r="F21" s="3" t="s">
        <v>165</v>
      </c>
      <c r="G21" s="3" t="s">
        <v>333</v>
      </c>
      <c r="H21" s="3" t="s">
        <v>358</v>
      </c>
    </row>
    <row r="22" spans="1:8" ht="18" customHeight="1" x14ac:dyDescent="0.15">
      <c r="A22" s="2" t="s">
        <v>359</v>
      </c>
      <c r="B22" s="2" t="s">
        <v>91</v>
      </c>
      <c r="C22" s="2" t="s">
        <v>95</v>
      </c>
      <c r="D22" s="2" t="s">
        <v>331</v>
      </c>
      <c r="E22" s="2" t="s">
        <v>360</v>
      </c>
      <c r="F22" s="2" t="s">
        <v>337</v>
      </c>
      <c r="G22" s="2" t="s">
        <v>333</v>
      </c>
      <c r="H22" s="2" t="s">
        <v>361</v>
      </c>
    </row>
    <row r="23" spans="1:8" ht="18" customHeight="1" x14ac:dyDescent="0.15">
      <c r="A23" s="3" t="s">
        <v>362</v>
      </c>
      <c r="B23" s="3" t="s">
        <v>91</v>
      </c>
      <c r="C23" s="3" t="s">
        <v>98</v>
      </c>
      <c r="D23" s="3" t="s">
        <v>331</v>
      </c>
      <c r="E23" s="3" t="s">
        <v>336</v>
      </c>
      <c r="F23" s="3" t="s">
        <v>337</v>
      </c>
      <c r="G23" s="3" t="s">
        <v>333</v>
      </c>
      <c r="H23" s="3" t="s">
        <v>338</v>
      </c>
    </row>
    <row r="24" spans="1:8" ht="18" customHeight="1" x14ac:dyDescent="0.15">
      <c r="A24" s="2" t="s">
        <v>363</v>
      </c>
      <c r="B24" s="2" t="s">
        <v>92</v>
      </c>
      <c r="C24" s="2" t="s">
        <v>97</v>
      </c>
      <c r="D24" s="2" t="s">
        <v>331</v>
      </c>
      <c r="E24" s="2" t="s">
        <v>263</v>
      </c>
      <c r="F24" s="2" t="s">
        <v>167</v>
      </c>
      <c r="G24" s="2" t="s">
        <v>333</v>
      </c>
      <c r="H24" s="2" t="s">
        <v>364</v>
      </c>
    </row>
    <row r="25" spans="1:8" ht="18" customHeight="1" x14ac:dyDescent="0.15">
      <c r="A25" s="3" t="s">
        <v>365</v>
      </c>
      <c r="B25" s="3" t="s">
        <v>91</v>
      </c>
      <c r="C25" s="3" t="s">
        <v>98</v>
      </c>
      <c r="D25" s="3" t="s">
        <v>331</v>
      </c>
      <c r="E25" s="3" t="s">
        <v>366</v>
      </c>
      <c r="F25" s="3" t="s">
        <v>156</v>
      </c>
      <c r="G25" s="3" t="s">
        <v>333</v>
      </c>
      <c r="H25" s="3" t="s">
        <v>367</v>
      </c>
    </row>
    <row r="26" spans="1:8" ht="18" customHeight="1" x14ac:dyDescent="0.15">
      <c r="A26" s="2" t="s">
        <v>368</v>
      </c>
      <c r="B26" s="2" t="s">
        <v>91</v>
      </c>
      <c r="C26" s="2" t="s">
        <v>94</v>
      </c>
      <c r="D26" s="2" t="s">
        <v>331</v>
      </c>
      <c r="E26" s="2" t="s">
        <v>369</v>
      </c>
      <c r="F26" s="2" t="s">
        <v>157</v>
      </c>
      <c r="G26" s="2" t="s">
        <v>333</v>
      </c>
      <c r="H26" s="2" t="s">
        <v>370</v>
      </c>
    </row>
    <row r="27" spans="1:8" ht="18" customHeight="1" x14ac:dyDescent="0.15">
      <c r="A27" s="3" t="s">
        <v>371</v>
      </c>
      <c r="B27" s="3" t="s">
        <v>90</v>
      </c>
      <c r="C27" s="3" t="s">
        <v>96</v>
      </c>
      <c r="D27" s="3" t="s">
        <v>331</v>
      </c>
      <c r="E27" s="3" t="s">
        <v>336</v>
      </c>
      <c r="F27" s="3" t="s">
        <v>337</v>
      </c>
      <c r="G27" s="3" t="s">
        <v>333</v>
      </c>
      <c r="H27" s="3" t="s">
        <v>338</v>
      </c>
    </row>
    <row r="28" spans="1:8" ht="18" customHeight="1" x14ac:dyDescent="0.15">
      <c r="A28" s="2" t="s">
        <v>372</v>
      </c>
      <c r="B28" s="2" t="s">
        <v>90</v>
      </c>
      <c r="C28" s="2" t="s">
        <v>95</v>
      </c>
      <c r="D28" s="2" t="s">
        <v>331</v>
      </c>
      <c r="E28" s="2" t="s">
        <v>373</v>
      </c>
      <c r="F28" s="2" t="s">
        <v>157</v>
      </c>
      <c r="G28" s="2" t="s">
        <v>333</v>
      </c>
      <c r="H28" s="2" t="s">
        <v>374</v>
      </c>
    </row>
    <row r="29" spans="1:8" ht="18" customHeight="1" x14ac:dyDescent="0.15">
      <c r="A29" s="3" t="s">
        <v>375</v>
      </c>
      <c r="B29" s="3" t="s">
        <v>91</v>
      </c>
      <c r="C29" s="3" t="s">
        <v>98</v>
      </c>
      <c r="D29" s="3" t="s">
        <v>331</v>
      </c>
      <c r="E29" s="3" t="s">
        <v>244</v>
      </c>
      <c r="F29" s="3" t="s">
        <v>163</v>
      </c>
      <c r="G29" s="3" t="s">
        <v>333</v>
      </c>
      <c r="H29" s="3" t="s">
        <v>376</v>
      </c>
    </row>
    <row r="30" spans="1:8" ht="18" customHeight="1" x14ac:dyDescent="0.15">
      <c r="A30" s="2" t="s">
        <v>377</v>
      </c>
      <c r="B30" s="2" t="s">
        <v>90</v>
      </c>
      <c r="C30" s="2" t="s">
        <v>97</v>
      </c>
      <c r="D30" s="2" t="s">
        <v>331</v>
      </c>
      <c r="E30" s="2" t="s">
        <v>306</v>
      </c>
      <c r="F30" s="2" t="s">
        <v>378</v>
      </c>
      <c r="G30" s="2" t="s">
        <v>333</v>
      </c>
      <c r="H30" s="2" t="s">
        <v>379</v>
      </c>
    </row>
    <row r="31" spans="1:8" ht="18" customHeight="1" x14ac:dyDescent="0.15">
      <c r="A31" s="3" t="s">
        <v>380</v>
      </c>
      <c r="B31" s="3" t="s">
        <v>91</v>
      </c>
      <c r="C31" s="3" t="s">
        <v>95</v>
      </c>
      <c r="D31" s="3" t="s">
        <v>331</v>
      </c>
      <c r="E31" s="3" t="s">
        <v>381</v>
      </c>
      <c r="F31" s="3" t="s">
        <v>382</v>
      </c>
      <c r="G31" s="3" t="s">
        <v>333</v>
      </c>
      <c r="H31" s="3" t="s">
        <v>383</v>
      </c>
    </row>
    <row r="32" spans="1:8" ht="18" customHeight="1" x14ac:dyDescent="0.15">
      <c r="A32" s="2" t="s">
        <v>384</v>
      </c>
      <c r="B32" s="2" t="s">
        <v>90</v>
      </c>
      <c r="C32" s="2" t="s">
        <v>94</v>
      </c>
      <c r="D32" s="2" t="s">
        <v>331</v>
      </c>
      <c r="E32" s="2" t="s">
        <v>385</v>
      </c>
      <c r="F32" s="2" t="s">
        <v>164</v>
      </c>
      <c r="G32" s="2" t="s">
        <v>333</v>
      </c>
      <c r="H32" s="2" t="s">
        <v>386</v>
      </c>
    </row>
    <row r="33" spans="1:10" ht="18" customHeight="1" x14ac:dyDescent="0.15">
      <c r="A33" s="3" t="s">
        <v>387</v>
      </c>
      <c r="B33" s="3" t="s">
        <v>91</v>
      </c>
      <c r="C33" s="3" t="s">
        <v>94</v>
      </c>
      <c r="D33" s="3" t="s">
        <v>331</v>
      </c>
      <c r="E33" s="3" t="s">
        <v>388</v>
      </c>
      <c r="F33" s="3" t="s">
        <v>378</v>
      </c>
      <c r="G33" s="3" t="s">
        <v>333</v>
      </c>
      <c r="H33" s="3" t="s">
        <v>389</v>
      </c>
    </row>
    <row r="34" spans="1:10" ht="9.9499999999999993" customHeight="1" x14ac:dyDescent="0.15"/>
    <row r="35" spans="1:10" ht="26.1" customHeight="1" x14ac:dyDescent="0.15">
      <c r="A35" s="10" t="s">
        <v>390</v>
      </c>
      <c r="B35" s="8"/>
      <c r="C35" s="8"/>
      <c r="D35" s="8"/>
      <c r="E35" s="8"/>
      <c r="F35" s="8"/>
      <c r="G35" s="8"/>
      <c r="H35" s="8"/>
      <c r="I35" s="8"/>
      <c r="J35" s="8"/>
    </row>
    <row r="36" spans="1:10" ht="20.100000000000001" customHeight="1" x14ac:dyDescent="0.15">
      <c r="A36" s="1" t="s">
        <v>391</v>
      </c>
      <c r="B36" s="1" t="s">
        <v>71</v>
      </c>
      <c r="C36" s="1" t="s">
        <v>186</v>
      </c>
      <c r="D36" s="1" t="s">
        <v>392</v>
      </c>
      <c r="E36" s="1" t="s">
        <v>393</v>
      </c>
    </row>
    <row r="37" spans="1:10" ht="18" customHeight="1" x14ac:dyDescent="0.15">
      <c r="A37" s="2" t="s">
        <v>394</v>
      </c>
      <c r="B37" s="5">
        <v>3214</v>
      </c>
      <c r="C37" s="2" t="s">
        <v>211</v>
      </c>
      <c r="D37" s="2" t="s">
        <v>330</v>
      </c>
      <c r="E37" s="2" t="s">
        <v>395</v>
      </c>
    </row>
    <row r="38" spans="1:10" ht="9.9499999999999993" customHeight="1" x14ac:dyDescent="0.15"/>
    <row r="39" spans="1:10" ht="26.1" customHeight="1" x14ac:dyDescent="0.15">
      <c r="A39" s="10" t="s">
        <v>33</v>
      </c>
      <c r="B39" s="8"/>
      <c r="C39" s="8"/>
      <c r="D39" s="8"/>
      <c r="E39" s="8"/>
      <c r="F39" s="8"/>
      <c r="G39" s="8"/>
      <c r="H39" s="8"/>
      <c r="I39" s="8"/>
      <c r="J39" s="8"/>
    </row>
    <row r="40" spans="1:10" ht="15.95" customHeight="1" x14ac:dyDescent="0.15">
      <c r="A40" s="14" t="s">
        <v>396</v>
      </c>
      <c r="B40" s="8"/>
      <c r="C40" s="8"/>
      <c r="D40" s="8"/>
      <c r="E40" s="8"/>
      <c r="F40" s="8"/>
      <c r="G40" s="8"/>
      <c r="H40" s="8"/>
      <c r="I40" s="8"/>
      <c r="J40" s="8"/>
    </row>
    <row r="60" spans="1:10" ht="15.95" customHeight="1" x14ac:dyDescent="0.15">
      <c r="A60" s="14" t="s">
        <v>397</v>
      </c>
      <c r="B60" s="8"/>
      <c r="C60" s="8"/>
      <c r="D60" s="8"/>
      <c r="E60" s="8"/>
      <c r="F60" s="8"/>
      <c r="G60" s="8"/>
      <c r="H60" s="8"/>
      <c r="I60" s="8"/>
      <c r="J60" s="8"/>
    </row>
    <row r="87" spans="1:10" ht="15.95" customHeight="1" x14ac:dyDescent="0.15">
      <c r="A87" s="14" t="s">
        <v>398</v>
      </c>
      <c r="B87" s="8"/>
      <c r="C87" s="8"/>
      <c r="D87" s="8"/>
      <c r="E87" s="8"/>
      <c r="F87" s="8"/>
      <c r="G87" s="8"/>
      <c r="H87" s="8"/>
      <c r="I87" s="8"/>
      <c r="J87" s="8"/>
    </row>
    <row r="88" spans="1:10" ht="15.75" x14ac:dyDescent="0.25">
      <c r="A88" s="19" t="s">
        <v>399</v>
      </c>
    </row>
    <row r="89" spans="1:10" s="20" customFormat="1" ht="15" x14ac:dyDescent="0.25">
      <c r="A89" s="20" t="s">
        <v>93</v>
      </c>
      <c r="B89" s="20" t="s">
        <v>400</v>
      </c>
    </row>
    <row r="90" spans="1:10" s="20" customFormat="1" ht="15" x14ac:dyDescent="0.25">
      <c r="A90" s="20" t="s">
        <v>102</v>
      </c>
      <c r="B90" s="20">
        <v>0</v>
      </c>
    </row>
    <row r="91" spans="1:10" s="20" customFormat="1" ht="15" x14ac:dyDescent="0.25">
      <c r="A91" s="20" t="s">
        <v>307</v>
      </c>
      <c r="B91" s="20">
        <v>0</v>
      </c>
    </row>
    <row r="92" spans="1:10" s="20" customFormat="1" ht="15" x14ac:dyDescent="0.25">
      <c r="A92" s="20" t="s">
        <v>275</v>
      </c>
      <c r="B92" s="20">
        <v>0</v>
      </c>
    </row>
    <row r="93" spans="1:10" s="20" customFormat="1" ht="15" x14ac:dyDescent="0.25">
      <c r="A93" s="20" t="s">
        <v>96</v>
      </c>
      <c r="B93" s="20">
        <v>0</v>
      </c>
    </row>
    <row r="94" spans="1:10" s="20" customFormat="1" ht="15" x14ac:dyDescent="0.25">
      <c r="A94" s="20" t="s">
        <v>101</v>
      </c>
      <c r="B94" s="20">
        <v>0</v>
      </c>
    </row>
    <row r="95" spans="1:10" s="20" customFormat="1" ht="15" x14ac:dyDescent="0.25">
      <c r="A95" s="20" t="s">
        <v>99</v>
      </c>
      <c r="B95" s="20">
        <v>0</v>
      </c>
    </row>
    <row r="96" spans="1:10" s="20" customFormat="1" ht="15" x14ac:dyDescent="0.25">
      <c r="A96" s="20" t="s">
        <v>281</v>
      </c>
      <c r="B96" s="20">
        <v>0</v>
      </c>
    </row>
    <row r="97" spans="1:10" s="20" customFormat="1" ht="15" x14ac:dyDescent="0.25">
      <c r="A97" s="20" t="s">
        <v>103</v>
      </c>
      <c r="B97" s="20">
        <v>0</v>
      </c>
    </row>
    <row r="98" spans="1:10" s="20" customFormat="1" ht="15" x14ac:dyDescent="0.25">
      <c r="A98" s="20" t="s">
        <v>292</v>
      </c>
      <c r="B98" s="20">
        <v>0</v>
      </c>
    </row>
    <row r="99" spans="1:10" s="20" customFormat="1" ht="15" x14ac:dyDescent="0.25">
      <c r="A99" s="20" t="s">
        <v>94</v>
      </c>
      <c r="B99" s="20">
        <v>0</v>
      </c>
    </row>
    <row r="100" spans="1:10" s="20" customFormat="1" ht="15" x14ac:dyDescent="0.25">
      <c r="A100" s="20" t="s">
        <v>302</v>
      </c>
      <c r="B100" s="20">
        <v>0</v>
      </c>
    </row>
    <row r="101" spans="1:10" s="20" customFormat="1" ht="15" x14ac:dyDescent="0.25">
      <c r="A101" s="20" t="s">
        <v>265</v>
      </c>
      <c r="B101" s="20">
        <v>0</v>
      </c>
    </row>
    <row r="102" spans="1:10" s="20" customFormat="1" ht="15" x14ac:dyDescent="0.25">
      <c r="A102" s="20" t="s">
        <v>286</v>
      </c>
      <c r="B102" s="20">
        <v>0</v>
      </c>
    </row>
    <row r="103" spans="1:10" s="20" customFormat="1" ht="15" x14ac:dyDescent="0.25">
      <c r="A103" s="20" t="s">
        <v>95</v>
      </c>
      <c r="B103" s="20">
        <v>0</v>
      </c>
    </row>
    <row r="104" spans="1:10" s="20" customFormat="1" ht="15" x14ac:dyDescent="0.25">
      <c r="A104" s="20" t="s">
        <v>97</v>
      </c>
      <c r="B104" s="20">
        <v>0</v>
      </c>
    </row>
    <row r="105" spans="1:10" s="20" customFormat="1" ht="15" x14ac:dyDescent="0.25">
      <c r="A105" s="20" t="s">
        <v>98</v>
      </c>
      <c r="B105" s="20">
        <v>0</v>
      </c>
    </row>
    <row r="106" spans="1:10" s="20" customFormat="1" ht="15" x14ac:dyDescent="0.25">
      <c r="A106" s="20" t="s">
        <v>100</v>
      </c>
      <c r="B106" s="20">
        <v>0</v>
      </c>
    </row>
    <row r="107" spans="1:10" s="20" customFormat="1" ht="15" x14ac:dyDescent="0.25">
      <c r="A107" s="20" t="s">
        <v>271</v>
      </c>
      <c r="B107" s="20">
        <v>0</v>
      </c>
    </row>
    <row r="108" spans="1:10" s="20" customFormat="1" ht="15" x14ac:dyDescent="0.25">
      <c r="A108" s="20" t="s">
        <v>298</v>
      </c>
      <c r="B108" s="20">
        <v>0</v>
      </c>
    </row>
    <row r="110" spans="1:10" ht="9.9499999999999993" customHeight="1" x14ac:dyDescent="0.15"/>
    <row r="111" spans="1:10" ht="26.1" customHeight="1" x14ac:dyDescent="0.15">
      <c r="A111" s="11" t="s">
        <v>53</v>
      </c>
      <c r="B111" s="8"/>
      <c r="C111" s="8"/>
      <c r="D111" s="8"/>
      <c r="E111" s="8"/>
      <c r="F111" s="8"/>
      <c r="G111" s="8"/>
      <c r="H111" s="8"/>
      <c r="I111" s="8"/>
      <c r="J111" s="8"/>
    </row>
    <row r="112" spans="1:10" ht="30" customHeight="1" x14ac:dyDescent="0.15">
      <c r="A112" s="12" t="s">
        <v>401</v>
      </c>
      <c r="B112" s="8"/>
      <c r="C112" s="8"/>
      <c r="D112" s="8"/>
      <c r="E112" s="8"/>
      <c r="F112" s="8"/>
      <c r="G112" s="8"/>
      <c r="H112" s="8"/>
      <c r="I112" s="8"/>
      <c r="J112" s="8"/>
    </row>
    <row r="113" spans="1:10" ht="6" customHeight="1" x14ac:dyDescent="0.15"/>
    <row r="114" spans="1:10" ht="30" customHeight="1" x14ac:dyDescent="0.15">
      <c r="A114" s="12" t="s">
        <v>402</v>
      </c>
      <c r="B114" s="8"/>
      <c r="C114" s="8"/>
      <c r="D114" s="8"/>
      <c r="E114" s="8"/>
      <c r="F114" s="8"/>
      <c r="G114" s="8"/>
      <c r="H114" s="8"/>
      <c r="I114" s="8"/>
      <c r="J114" s="8"/>
    </row>
    <row r="115" spans="1:10" ht="6" customHeight="1" x14ac:dyDescent="0.15"/>
    <row r="116" spans="1:10" ht="30" customHeight="1" x14ac:dyDescent="0.15">
      <c r="A116" s="12" t="s">
        <v>316</v>
      </c>
      <c r="B116" s="8"/>
      <c r="C116" s="8"/>
      <c r="D116" s="8"/>
      <c r="E116" s="8"/>
      <c r="F116" s="8"/>
      <c r="G116" s="8"/>
      <c r="H116" s="8"/>
      <c r="I116" s="8"/>
      <c r="J116" s="8"/>
    </row>
    <row r="117" spans="1:10" ht="30" customHeight="1" x14ac:dyDescent="0.15">
      <c r="A117" s="7" t="s">
        <v>403</v>
      </c>
      <c r="B117" s="8"/>
      <c r="C117" s="8"/>
      <c r="D117" s="8"/>
      <c r="E117" s="8"/>
      <c r="F117" s="8"/>
      <c r="G117" s="8"/>
      <c r="H117" s="8"/>
      <c r="I117" s="8"/>
      <c r="J117" s="8"/>
    </row>
    <row r="118" spans="1:10" ht="30" customHeight="1" x14ac:dyDescent="0.15">
      <c r="A118" s="7" t="s">
        <v>404</v>
      </c>
      <c r="B118" s="8"/>
      <c r="C118" s="8"/>
      <c r="D118" s="8"/>
      <c r="E118" s="8"/>
      <c r="F118" s="8"/>
      <c r="G118" s="8"/>
      <c r="H118" s="8"/>
      <c r="I118" s="8"/>
      <c r="J118" s="8"/>
    </row>
    <row r="119" spans="1:10" ht="30" customHeight="1" x14ac:dyDescent="0.15">
      <c r="A119" s="7" t="s">
        <v>405</v>
      </c>
      <c r="B119" s="8"/>
      <c r="C119" s="8"/>
      <c r="D119" s="8"/>
      <c r="E119" s="8"/>
      <c r="F119" s="8"/>
      <c r="G119" s="8"/>
      <c r="H119" s="8"/>
      <c r="I119" s="8"/>
      <c r="J119" s="8"/>
    </row>
    <row r="120" spans="1:10" ht="6" customHeight="1" x14ac:dyDescent="0.15"/>
    <row r="121" spans="1:10" ht="30" customHeight="1" x14ac:dyDescent="0.15">
      <c r="A121" s="12" t="s">
        <v>406</v>
      </c>
      <c r="B121" s="8"/>
      <c r="C121" s="8"/>
      <c r="D121" s="8"/>
      <c r="E121" s="8"/>
      <c r="F121" s="8"/>
      <c r="G121" s="8"/>
      <c r="H121" s="8"/>
      <c r="I121" s="8"/>
      <c r="J121" s="8"/>
    </row>
    <row r="122" spans="1:10" ht="9.9499999999999993" customHeight="1" x14ac:dyDescent="0.15"/>
    <row r="123" spans="1:10" ht="9.9499999999999993" customHeight="1" x14ac:dyDescent="0.15"/>
    <row r="124" spans="1:10" x14ac:dyDescent="0.15">
      <c r="A124" s="13" t="s">
        <v>62</v>
      </c>
      <c r="B124" s="8"/>
      <c r="C124" s="8"/>
      <c r="D124" s="8"/>
      <c r="E124" s="8"/>
      <c r="F124" s="8"/>
      <c r="G124" s="8"/>
      <c r="H124" s="8"/>
      <c r="I124" s="8"/>
      <c r="J124" s="8"/>
    </row>
  </sheetData>
  <mergeCells count="19">
    <mergeCell ref="A1:J1"/>
    <mergeCell ref="A119:J119"/>
    <mergeCell ref="A124:J124"/>
    <mergeCell ref="A87:J87"/>
    <mergeCell ref="A118:J118"/>
    <mergeCell ref="A12:J12"/>
    <mergeCell ref="A2:J2"/>
    <mergeCell ref="A116:J116"/>
    <mergeCell ref="A5:J5"/>
    <mergeCell ref="A35:J35"/>
    <mergeCell ref="A4:J4"/>
    <mergeCell ref="A121:J121"/>
    <mergeCell ref="A112:J112"/>
    <mergeCell ref="A117:J117"/>
    <mergeCell ref="A111:J111"/>
    <mergeCell ref="A40:J40"/>
    <mergeCell ref="A39:J39"/>
    <mergeCell ref="A114:J114"/>
    <mergeCell ref="A60:J60"/>
  </mergeCells>
  <phoneticPr fontId="13" type="noConversion"/>
  <conditionalFormatting sqref="B90:B108">
    <cfRule type="colorScale" priority="1">
      <colorScale>
        <cfvo type="min"/>
        <cfvo type="percentile" val="50"/>
        <cfvo type="max"/>
        <color rgb="FFF7FCF5"/>
        <color rgb="FFFEB24C"/>
        <color rgb="FFE31A1C"/>
      </colorScale>
    </cfRule>
  </conditionalFormatting>
  <pageMargins left="0.75" right="0.75" top="1" bottom="1" header="0.5" footer="0.5"/>
  <pageSetup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2C55E"/>
    <pageSetUpPr fitToPage="1"/>
  </sheetPr>
  <dimension ref="A1:J115"/>
  <sheetViews>
    <sheetView topLeftCell="A79" workbookViewId="0">
      <selection activeCell="N80" sqref="N80"/>
    </sheetView>
  </sheetViews>
  <sheetFormatPr defaultRowHeight="13.5" x14ac:dyDescent="0.15"/>
  <cols>
    <col min="1" max="1" width="18" customWidth="1"/>
    <col min="2" max="2" width="10" customWidth="1"/>
    <col min="3" max="3" width="16" customWidth="1"/>
    <col min="4" max="4" width="12" customWidth="1"/>
    <col min="5" max="5" width="13" customWidth="1"/>
    <col min="6" max="6" width="10" customWidth="1"/>
  </cols>
  <sheetData>
    <row r="1" spans="1:10" ht="36" customHeight="1" x14ac:dyDescent="0.15">
      <c r="A1" s="9" t="s">
        <v>26</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184</v>
      </c>
      <c r="B4" s="8"/>
      <c r="C4" s="8"/>
      <c r="D4" s="8"/>
      <c r="E4" s="8"/>
      <c r="F4" s="8"/>
      <c r="G4" s="8"/>
      <c r="H4" s="8"/>
      <c r="I4" s="8"/>
      <c r="J4" s="8"/>
    </row>
    <row r="5" spans="1:10" ht="26.1" customHeight="1" x14ac:dyDescent="0.15">
      <c r="A5" s="10" t="s">
        <v>407</v>
      </c>
      <c r="B5" s="8"/>
      <c r="C5" s="8"/>
      <c r="D5" s="8"/>
      <c r="E5" s="8"/>
      <c r="F5" s="8"/>
      <c r="G5" s="8"/>
      <c r="H5" s="8"/>
      <c r="I5" s="8"/>
      <c r="J5" s="8"/>
    </row>
    <row r="6" spans="1:10" ht="20.100000000000001" customHeight="1" x14ac:dyDescent="0.15">
      <c r="A6" s="1" t="s">
        <v>108</v>
      </c>
      <c r="B6" s="1" t="s">
        <v>71</v>
      </c>
      <c r="C6" s="1" t="s">
        <v>186</v>
      </c>
      <c r="D6" s="1" t="s">
        <v>408</v>
      </c>
      <c r="E6" s="1" t="s">
        <v>409</v>
      </c>
      <c r="F6" s="1" t="s">
        <v>410</v>
      </c>
    </row>
    <row r="7" spans="1:10" ht="18" customHeight="1" x14ac:dyDescent="0.15">
      <c r="A7" s="2" t="s">
        <v>411</v>
      </c>
      <c r="B7" s="5">
        <v>30</v>
      </c>
      <c r="C7" s="2" t="s">
        <v>412</v>
      </c>
      <c r="D7" s="2" t="s">
        <v>413</v>
      </c>
      <c r="E7" s="2" t="s">
        <v>414</v>
      </c>
      <c r="F7" s="2" t="s">
        <v>415</v>
      </c>
    </row>
    <row r="8" spans="1:10" ht="18" customHeight="1" x14ac:dyDescent="0.15">
      <c r="A8" s="3" t="s">
        <v>416</v>
      </c>
      <c r="B8" s="6">
        <v>15</v>
      </c>
      <c r="C8" s="3" t="s">
        <v>417</v>
      </c>
      <c r="D8" s="3" t="s">
        <v>418</v>
      </c>
      <c r="E8" s="3" t="s">
        <v>419</v>
      </c>
      <c r="F8" s="3" t="s">
        <v>420</v>
      </c>
    </row>
    <row r="9" spans="1:10" ht="18" customHeight="1" x14ac:dyDescent="0.15">
      <c r="A9" s="2" t="s">
        <v>421</v>
      </c>
      <c r="B9" s="5">
        <v>5</v>
      </c>
      <c r="C9" s="2" t="s">
        <v>422</v>
      </c>
      <c r="D9" s="2" t="s">
        <v>423</v>
      </c>
      <c r="E9" s="2" t="s">
        <v>17</v>
      </c>
      <c r="F9" s="2" t="s">
        <v>424</v>
      </c>
    </row>
    <row r="10" spans="1:10" ht="9.9499999999999993" customHeight="1" x14ac:dyDescent="0.15"/>
    <row r="11" spans="1:10" ht="26.1" customHeight="1" x14ac:dyDescent="0.15">
      <c r="A11" s="10" t="s">
        <v>425</v>
      </c>
      <c r="B11" s="8"/>
      <c r="C11" s="8"/>
      <c r="D11" s="8"/>
      <c r="E11" s="8"/>
      <c r="F11" s="8"/>
      <c r="G11" s="8"/>
      <c r="H11" s="8"/>
      <c r="I11" s="8"/>
      <c r="J11" s="8"/>
    </row>
    <row r="12" spans="1:10" ht="20.100000000000001" customHeight="1" x14ac:dyDescent="0.15">
      <c r="A12" s="1" t="s">
        <v>93</v>
      </c>
      <c r="B12" s="1" t="s">
        <v>71</v>
      </c>
      <c r="C12" s="1" t="s">
        <v>408</v>
      </c>
      <c r="D12" s="1" t="s">
        <v>426</v>
      </c>
      <c r="E12" s="1" t="s">
        <v>168</v>
      </c>
      <c r="F12" s="1" t="s">
        <v>38</v>
      </c>
    </row>
    <row r="13" spans="1:10" ht="18" customHeight="1" x14ac:dyDescent="0.15">
      <c r="A13" s="2" t="s">
        <v>116</v>
      </c>
      <c r="B13" s="5">
        <v>16</v>
      </c>
      <c r="C13" s="2" t="s">
        <v>427</v>
      </c>
      <c r="D13" s="5">
        <v>1</v>
      </c>
      <c r="E13" s="5">
        <v>2</v>
      </c>
      <c r="F13" s="2" t="s">
        <v>428</v>
      </c>
    </row>
    <row r="14" spans="1:10" ht="18" customHeight="1" x14ac:dyDescent="0.15">
      <c r="A14" s="3" t="s">
        <v>117</v>
      </c>
      <c r="B14" s="6">
        <v>11</v>
      </c>
      <c r="C14" s="3" t="s">
        <v>429</v>
      </c>
      <c r="D14" s="6">
        <v>1</v>
      </c>
      <c r="E14" s="6">
        <v>2</v>
      </c>
      <c r="F14" s="3" t="s">
        <v>428</v>
      </c>
    </row>
    <row r="15" spans="1:10" ht="18" customHeight="1" x14ac:dyDescent="0.15">
      <c r="A15" s="2" t="s">
        <v>118</v>
      </c>
      <c r="B15" s="5">
        <v>9</v>
      </c>
      <c r="C15" s="2" t="s">
        <v>430</v>
      </c>
      <c r="D15" s="5">
        <v>2</v>
      </c>
      <c r="E15" s="5">
        <v>1</v>
      </c>
      <c r="F15" s="2" t="s">
        <v>428</v>
      </c>
    </row>
    <row r="16" spans="1:10" ht="18" customHeight="1" x14ac:dyDescent="0.15">
      <c r="A16" s="3" t="s">
        <v>119</v>
      </c>
      <c r="B16" s="6">
        <v>7</v>
      </c>
      <c r="C16" s="3" t="s">
        <v>431</v>
      </c>
      <c r="D16" s="6">
        <v>4</v>
      </c>
      <c r="E16" s="6">
        <v>1</v>
      </c>
      <c r="F16" s="3" t="s">
        <v>428</v>
      </c>
    </row>
    <row r="17" spans="1:10" ht="18" customHeight="1" x14ac:dyDescent="0.15">
      <c r="A17" s="2" t="s">
        <v>120</v>
      </c>
      <c r="B17" s="5">
        <v>7</v>
      </c>
      <c r="C17" s="2" t="s">
        <v>211</v>
      </c>
      <c r="D17" s="5">
        <v>0</v>
      </c>
      <c r="E17" s="5">
        <v>3</v>
      </c>
      <c r="F17" s="2" t="s">
        <v>428</v>
      </c>
    </row>
    <row r="18" spans="1:10" ht="9.9499999999999993" customHeight="1" x14ac:dyDescent="0.15"/>
    <row r="19" spans="1:10" ht="26.1" customHeight="1" x14ac:dyDescent="0.15">
      <c r="A19" s="10" t="s">
        <v>33</v>
      </c>
      <c r="B19" s="8"/>
      <c r="C19" s="8"/>
      <c r="D19" s="8"/>
      <c r="E19" s="8"/>
      <c r="F19" s="8"/>
      <c r="G19" s="8"/>
      <c r="H19" s="8"/>
      <c r="I19" s="8"/>
      <c r="J19" s="8"/>
    </row>
    <row r="20" spans="1:10" ht="15.95" customHeight="1" x14ac:dyDescent="0.15">
      <c r="A20" s="14" t="s">
        <v>432</v>
      </c>
      <c r="B20" s="8"/>
      <c r="C20" s="8"/>
      <c r="D20" s="8"/>
      <c r="E20" s="8"/>
      <c r="F20" s="8"/>
      <c r="G20" s="8"/>
      <c r="H20" s="8"/>
      <c r="I20" s="8"/>
      <c r="J20" s="8"/>
    </row>
    <row r="47" spans="1:10" ht="15.95" customHeight="1" x14ac:dyDescent="0.15">
      <c r="A47" s="14" t="s">
        <v>433</v>
      </c>
      <c r="B47" s="8"/>
      <c r="C47" s="8"/>
      <c r="D47" s="8"/>
      <c r="E47" s="8"/>
      <c r="F47" s="8"/>
      <c r="G47" s="8"/>
      <c r="H47" s="8"/>
      <c r="I47" s="8"/>
      <c r="J47" s="8"/>
    </row>
    <row r="74" spans="1:10" ht="15.95" customHeight="1" x14ac:dyDescent="0.15">
      <c r="A74" s="14" t="s">
        <v>434</v>
      </c>
      <c r="B74" s="8"/>
      <c r="C74" s="8"/>
      <c r="D74" s="8"/>
      <c r="E74" s="8"/>
      <c r="F74" s="8"/>
      <c r="G74" s="8"/>
      <c r="H74" s="8"/>
      <c r="I74" s="8"/>
      <c r="J74" s="8"/>
    </row>
    <row r="101" spans="1:10" ht="9.9499999999999993" customHeight="1" x14ac:dyDescent="0.15"/>
    <row r="102" spans="1:10" ht="26.1" customHeight="1" x14ac:dyDescent="0.15">
      <c r="A102" s="11" t="s">
        <v>53</v>
      </c>
      <c r="B102" s="8"/>
      <c r="C102" s="8"/>
      <c r="D102" s="8"/>
      <c r="E102" s="8"/>
      <c r="F102" s="8"/>
      <c r="G102" s="8"/>
      <c r="H102" s="8"/>
      <c r="I102" s="8"/>
      <c r="J102" s="8"/>
    </row>
    <row r="103" spans="1:10" ht="30" customHeight="1" x14ac:dyDescent="0.15">
      <c r="A103" s="12" t="s">
        <v>435</v>
      </c>
      <c r="B103" s="8"/>
      <c r="C103" s="8"/>
      <c r="D103" s="8"/>
      <c r="E103" s="8"/>
      <c r="F103" s="8"/>
      <c r="G103" s="8"/>
      <c r="H103" s="8"/>
      <c r="I103" s="8"/>
      <c r="J103" s="8"/>
    </row>
    <row r="104" spans="1:10" ht="6" customHeight="1" x14ac:dyDescent="0.15"/>
    <row r="105" spans="1:10" ht="30" customHeight="1" x14ac:dyDescent="0.15">
      <c r="A105" s="12" t="s">
        <v>436</v>
      </c>
      <c r="B105" s="8"/>
      <c r="C105" s="8"/>
      <c r="D105" s="8"/>
      <c r="E105" s="8"/>
      <c r="F105" s="8"/>
      <c r="G105" s="8"/>
      <c r="H105" s="8"/>
      <c r="I105" s="8"/>
      <c r="J105" s="8"/>
    </row>
    <row r="106" spans="1:10" ht="6" customHeight="1" x14ac:dyDescent="0.15"/>
    <row r="107" spans="1:10" ht="30" customHeight="1" x14ac:dyDescent="0.15">
      <c r="A107" s="12" t="s">
        <v>316</v>
      </c>
      <c r="B107" s="8"/>
      <c r="C107" s="8"/>
      <c r="D107" s="8"/>
      <c r="E107" s="8"/>
      <c r="F107" s="8"/>
      <c r="G107" s="8"/>
      <c r="H107" s="8"/>
      <c r="I107" s="8"/>
      <c r="J107" s="8"/>
    </row>
    <row r="108" spans="1:10" ht="30" customHeight="1" x14ac:dyDescent="0.15">
      <c r="A108" s="7" t="s">
        <v>437</v>
      </c>
      <c r="B108" s="8"/>
      <c r="C108" s="8"/>
      <c r="D108" s="8"/>
      <c r="E108" s="8"/>
      <c r="F108" s="8"/>
      <c r="G108" s="8"/>
      <c r="H108" s="8"/>
      <c r="I108" s="8"/>
      <c r="J108" s="8"/>
    </row>
    <row r="109" spans="1:10" ht="30" customHeight="1" x14ac:dyDescent="0.15">
      <c r="A109" s="7" t="s">
        <v>438</v>
      </c>
      <c r="B109" s="8"/>
      <c r="C109" s="8"/>
      <c r="D109" s="8"/>
      <c r="E109" s="8"/>
      <c r="F109" s="8"/>
      <c r="G109" s="8"/>
      <c r="H109" s="8"/>
      <c r="I109" s="8"/>
      <c r="J109" s="8"/>
    </row>
    <row r="110" spans="1:10" ht="30" customHeight="1" x14ac:dyDescent="0.15">
      <c r="A110" s="7" t="s">
        <v>439</v>
      </c>
      <c r="B110" s="8"/>
      <c r="C110" s="8"/>
      <c r="D110" s="8"/>
      <c r="E110" s="8"/>
      <c r="F110" s="8"/>
      <c r="G110" s="8"/>
      <c r="H110" s="8"/>
      <c r="I110" s="8"/>
      <c r="J110" s="8"/>
    </row>
    <row r="111" spans="1:10" ht="6" customHeight="1" x14ac:dyDescent="0.15"/>
    <row r="112" spans="1:10" ht="30" customHeight="1" x14ac:dyDescent="0.15">
      <c r="A112" s="12" t="s">
        <v>440</v>
      </c>
      <c r="B112" s="8"/>
      <c r="C112" s="8"/>
      <c r="D112" s="8"/>
      <c r="E112" s="8"/>
      <c r="F112" s="8"/>
      <c r="G112" s="8"/>
      <c r="H112" s="8"/>
      <c r="I112" s="8"/>
      <c r="J112" s="8"/>
    </row>
    <row r="113" spans="1:10" ht="9.9499999999999993" customHeight="1" x14ac:dyDescent="0.15"/>
    <row r="114" spans="1:10" ht="9.9499999999999993" customHeight="1" x14ac:dyDescent="0.15"/>
    <row r="115" spans="1:10" x14ac:dyDescent="0.15">
      <c r="A115" s="13" t="s">
        <v>62</v>
      </c>
      <c r="B115" s="8"/>
      <c r="C115" s="8"/>
      <c r="D115" s="8"/>
      <c r="E115" s="8"/>
      <c r="F115" s="8"/>
      <c r="G115" s="8"/>
      <c r="H115" s="8"/>
      <c r="I115" s="8"/>
      <c r="J115" s="8"/>
    </row>
  </sheetData>
  <mergeCells count="18">
    <mergeCell ref="A115:J115"/>
    <mergeCell ref="A74:J74"/>
    <mergeCell ref="A110:J110"/>
    <mergeCell ref="A108:J108"/>
    <mergeCell ref="A105:J105"/>
    <mergeCell ref="A109:J109"/>
    <mergeCell ref="A112:J112"/>
    <mergeCell ref="A107:J107"/>
    <mergeCell ref="A47:J47"/>
    <mergeCell ref="A1:J1"/>
    <mergeCell ref="A5:J5"/>
    <mergeCell ref="A102:J102"/>
    <mergeCell ref="A103:J103"/>
    <mergeCell ref="A4:J4"/>
    <mergeCell ref="A20:J20"/>
    <mergeCell ref="A2:J2"/>
    <mergeCell ref="A19:J19"/>
    <mergeCell ref="A11:J11"/>
  </mergeCells>
  <phoneticPr fontId="13" type="noConversion"/>
  <pageMargins left="0.75" right="0.75" top="1" bottom="1" header="0.5" footer="0.5"/>
  <pageSetup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B5CF6"/>
    <pageSetUpPr fitToPage="1"/>
  </sheetPr>
  <dimension ref="A1:K150"/>
  <sheetViews>
    <sheetView topLeftCell="A79" workbookViewId="0">
      <selection activeCell="L124" sqref="L124"/>
    </sheetView>
  </sheetViews>
  <sheetFormatPr defaultRowHeight="13.5" x14ac:dyDescent="0.15"/>
  <cols>
    <col min="1" max="1" width="10" customWidth="1"/>
    <col min="2" max="2" width="21" customWidth="1"/>
    <col min="3" max="6" width="10" customWidth="1"/>
  </cols>
  <sheetData>
    <row r="1" spans="1:10" ht="36" customHeight="1" x14ac:dyDescent="0.15">
      <c r="A1" s="9" t="s">
        <v>27</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184</v>
      </c>
      <c r="B4" s="8"/>
      <c r="C4" s="8"/>
      <c r="D4" s="8"/>
      <c r="E4" s="8"/>
      <c r="F4" s="8"/>
      <c r="G4" s="8"/>
      <c r="H4" s="8"/>
      <c r="I4" s="8"/>
      <c r="J4" s="8"/>
    </row>
    <row r="5" spans="1:10" ht="26.1" customHeight="1" x14ac:dyDescent="0.15">
      <c r="A5" s="10" t="s">
        <v>441</v>
      </c>
      <c r="B5" s="8"/>
      <c r="C5" s="8"/>
      <c r="D5" s="8"/>
      <c r="E5" s="8"/>
      <c r="F5" s="8"/>
      <c r="G5" s="8"/>
      <c r="H5" s="8"/>
      <c r="I5" s="8"/>
      <c r="J5" s="8"/>
    </row>
    <row r="6" spans="1:10" ht="20.100000000000001" customHeight="1" x14ac:dyDescent="0.15">
      <c r="A6" s="1" t="s">
        <v>108</v>
      </c>
      <c r="B6" s="1" t="s">
        <v>71</v>
      </c>
      <c r="C6" s="1" t="s">
        <v>186</v>
      </c>
      <c r="D6" s="1" t="s">
        <v>442</v>
      </c>
      <c r="E6" s="1" t="s">
        <v>443</v>
      </c>
      <c r="F6" s="1" t="s">
        <v>19</v>
      </c>
    </row>
    <row r="7" spans="1:10" ht="18" customHeight="1" x14ac:dyDescent="0.15">
      <c r="A7" s="2" t="s">
        <v>134</v>
      </c>
      <c r="B7" s="5">
        <v>20</v>
      </c>
      <c r="C7" s="2" t="s">
        <v>444</v>
      </c>
      <c r="D7" s="2" t="s">
        <v>445</v>
      </c>
      <c r="E7" s="2" t="s">
        <v>446</v>
      </c>
      <c r="F7" s="2" t="s">
        <v>447</v>
      </c>
    </row>
    <row r="8" spans="1:10" ht="18" customHeight="1" x14ac:dyDescent="0.15">
      <c r="A8" s="3" t="s">
        <v>136</v>
      </c>
      <c r="B8" s="6">
        <v>14</v>
      </c>
      <c r="C8" s="3" t="s">
        <v>448</v>
      </c>
      <c r="D8" s="3" t="s">
        <v>449</v>
      </c>
      <c r="E8" s="3" t="s">
        <v>450</v>
      </c>
      <c r="F8" s="3" t="s">
        <v>451</v>
      </c>
    </row>
    <row r="9" spans="1:10" ht="18" customHeight="1" x14ac:dyDescent="0.15">
      <c r="A9" s="2" t="s">
        <v>137</v>
      </c>
      <c r="B9" s="5">
        <v>7</v>
      </c>
      <c r="C9" s="2" t="s">
        <v>452</v>
      </c>
      <c r="D9" s="2" t="s">
        <v>453</v>
      </c>
      <c r="E9" s="2" t="s">
        <v>454</v>
      </c>
      <c r="F9" s="2" t="s">
        <v>455</v>
      </c>
    </row>
    <row r="10" spans="1:10" ht="18" customHeight="1" x14ac:dyDescent="0.15">
      <c r="A10" s="3" t="s">
        <v>135</v>
      </c>
      <c r="B10" s="6">
        <v>9</v>
      </c>
      <c r="C10" s="3" t="s">
        <v>456</v>
      </c>
      <c r="D10" s="3" t="s">
        <v>430</v>
      </c>
      <c r="E10" s="3" t="s">
        <v>457</v>
      </c>
      <c r="F10" s="3" t="s">
        <v>458</v>
      </c>
    </row>
    <row r="11" spans="1:10" ht="9.9499999999999993" customHeight="1" x14ac:dyDescent="0.15"/>
    <row r="12" spans="1:10" ht="26.1" customHeight="1" x14ac:dyDescent="0.15">
      <c r="A12" s="10" t="s">
        <v>459</v>
      </c>
      <c r="B12" s="8"/>
      <c r="C12" s="8"/>
      <c r="D12" s="8"/>
      <c r="E12" s="8"/>
      <c r="F12" s="8"/>
      <c r="G12" s="8"/>
      <c r="H12" s="8"/>
      <c r="I12" s="8"/>
      <c r="J12" s="8"/>
    </row>
    <row r="13" spans="1:10" ht="20.100000000000001" customHeight="1" x14ac:dyDescent="0.15">
      <c r="A13" s="1" t="s">
        <v>64</v>
      </c>
      <c r="B13" s="1" t="s">
        <v>460</v>
      </c>
      <c r="C13" s="1" t="s">
        <v>71</v>
      </c>
      <c r="D13" s="1" t="s">
        <v>186</v>
      </c>
      <c r="E13" s="1" t="s">
        <v>187</v>
      </c>
    </row>
    <row r="14" spans="1:10" ht="18" customHeight="1" x14ac:dyDescent="0.15">
      <c r="A14" s="2" t="s">
        <v>123</v>
      </c>
      <c r="B14" s="2" t="s">
        <v>461</v>
      </c>
      <c r="C14" s="5">
        <v>10</v>
      </c>
      <c r="D14" s="2" t="s">
        <v>462</v>
      </c>
      <c r="E14" s="2" t="s">
        <v>462</v>
      </c>
    </row>
    <row r="15" spans="1:10" ht="18" customHeight="1" x14ac:dyDescent="0.15">
      <c r="A15" s="3" t="s">
        <v>124</v>
      </c>
      <c r="B15" s="3" t="s">
        <v>463</v>
      </c>
      <c r="C15" s="6">
        <v>9</v>
      </c>
      <c r="D15" s="3" t="s">
        <v>464</v>
      </c>
      <c r="E15" s="3" t="s">
        <v>465</v>
      </c>
    </row>
    <row r="16" spans="1:10" ht="18" customHeight="1" x14ac:dyDescent="0.15">
      <c r="A16" s="2" t="s">
        <v>125</v>
      </c>
      <c r="B16" s="2" t="s">
        <v>466</v>
      </c>
      <c r="C16" s="5">
        <v>7</v>
      </c>
      <c r="D16" s="2" t="s">
        <v>467</v>
      </c>
      <c r="E16" s="2" t="s">
        <v>468</v>
      </c>
    </row>
    <row r="17" spans="1:10" ht="18" customHeight="1" x14ac:dyDescent="0.15">
      <c r="A17" s="3" t="s">
        <v>126</v>
      </c>
      <c r="B17" s="3" t="s">
        <v>469</v>
      </c>
      <c r="C17" s="6">
        <v>5</v>
      </c>
      <c r="D17" s="3" t="s">
        <v>470</v>
      </c>
      <c r="E17" s="3" t="s">
        <v>261</v>
      </c>
    </row>
    <row r="18" spans="1:10" ht="18" customHeight="1" x14ac:dyDescent="0.15">
      <c r="A18" s="2" t="s">
        <v>127</v>
      </c>
      <c r="B18" s="2" t="s">
        <v>471</v>
      </c>
      <c r="C18" s="5">
        <v>2</v>
      </c>
      <c r="D18" s="2" t="s">
        <v>472</v>
      </c>
      <c r="E18" s="2" t="s">
        <v>211</v>
      </c>
    </row>
    <row r="19" spans="1:10" ht="9.9499999999999993" customHeight="1" x14ac:dyDescent="0.15"/>
    <row r="20" spans="1:10" ht="26.1" customHeight="1" x14ac:dyDescent="0.15">
      <c r="A20" s="10" t="s">
        <v>33</v>
      </c>
      <c r="B20" s="8"/>
      <c r="C20" s="8"/>
      <c r="D20" s="8"/>
      <c r="E20" s="8"/>
      <c r="F20" s="8"/>
      <c r="G20" s="8"/>
      <c r="H20" s="8"/>
      <c r="I20" s="8"/>
      <c r="J20" s="8"/>
    </row>
    <row r="21" spans="1:10" ht="15.95" customHeight="1" x14ac:dyDescent="0.15">
      <c r="A21" s="14" t="s">
        <v>473</v>
      </c>
      <c r="B21" s="8"/>
      <c r="C21" s="8"/>
      <c r="D21" s="8"/>
      <c r="E21" s="8"/>
      <c r="F21" s="8"/>
      <c r="G21" s="8"/>
      <c r="H21" s="8"/>
      <c r="I21" s="8"/>
      <c r="J21" s="8"/>
    </row>
    <row r="48" spans="1:10" ht="15.95" customHeight="1" x14ac:dyDescent="0.15">
      <c r="A48" s="14" t="s">
        <v>474</v>
      </c>
      <c r="B48" s="8"/>
      <c r="C48" s="8"/>
      <c r="D48" s="8"/>
      <c r="E48" s="8"/>
      <c r="F48" s="8"/>
      <c r="G48" s="8"/>
      <c r="H48" s="8"/>
      <c r="I48" s="8"/>
      <c r="J48" s="8"/>
    </row>
    <row r="75" spans="1:10" ht="15.95" customHeight="1" x14ac:dyDescent="0.15">
      <c r="A75" s="14" t="s">
        <v>475</v>
      </c>
      <c r="B75" s="8"/>
      <c r="C75" s="8"/>
      <c r="D75" s="8"/>
      <c r="E75" s="8"/>
      <c r="F75" s="8"/>
      <c r="G75" s="8"/>
      <c r="H75" s="8"/>
      <c r="I75" s="8"/>
      <c r="J75" s="8"/>
    </row>
    <row r="102" spans="1:10" ht="15.95" customHeight="1" x14ac:dyDescent="0.15">
      <c r="A102" s="14" t="s">
        <v>476</v>
      </c>
      <c r="B102" s="8"/>
      <c r="C102" s="8"/>
      <c r="D102" s="8"/>
      <c r="E102" s="8"/>
      <c r="F102" s="8"/>
      <c r="G102" s="8"/>
      <c r="H102" s="8"/>
      <c r="I102" s="8"/>
      <c r="J102" s="8"/>
    </row>
    <row r="129" spans="1:11" x14ac:dyDescent="0.15">
      <c r="A129" s="21" t="s">
        <v>477</v>
      </c>
      <c r="B129" s="22"/>
      <c r="C129" s="22"/>
    </row>
    <row r="130" spans="1:11" s="20" customFormat="1" ht="15" x14ac:dyDescent="0.25">
      <c r="A130" s="20" t="s">
        <v>130</v>
      </c>
      <c r="B130" s="20" t="s">
        <v>478</v>
      </c>
      <c r="C130" s="20" t="s">
        <v>479</v>
      </c>
      <c r="D130" s="20" t="s">
        <v>480</v>
      </c>
      <c r="E130" s="20" t="s">
        <v>481</v>
      </c>
      <c r="F130" s="20" t="s">
        <v>482</v>
      </c>
      <c r="G130" s="20" t="s">
        <v>483</v>
      </c>
      <c r="H130" s="20" t="s">
        <v>484</v>
      </c>
      <c r="I130" s="20" t="s">
        <v>485</v>
      </c>
      <c r="J130" s="20" t="s">
        <v>486</v>
      </c>
      <c r="K130" s="20" t="s">
        <v>487</v>
      </c>
    </row>
    <row r="131" spans="1:11" s="20" customFormat="1" ht="15" x14ac:dyDescent="0.25">
      <c r="A131" s="20" t="s">
        <v>134</v>
      </c>
      <c r="B131" s="20">
        <v>2</v>
      </c>
      <c r="C131" s="20">
        <v>0</v>
      </c>
      <c r="D131" s="20">
        <v>4</v>
      </c>
      <c r="E131" s="20">
        <v>3</v>
      </c>
      <c r="F131" s="20">
        <v>1</v>
      </c>
      <c r="G131" s="20">
        <v>4</v>
      </c>
      <c r="H131" s="20">
        <v>2</v>
      </c>
      <c r="I131" s="20">
        <v>4</v>
      </c>
      <c r="J131" s="20">
        <v>0</v>
      </c>
      <c r="K131" s="20">
        <v>0</v>
      </c>
    </row>
    <row r="132" spans="1:11" s="20" customFormat="1" ht="15" x14ac:dyDescent="0.25">
      <c r="A132" s="20" t="s">
        <v>135</v>
      </c>
      <c r="B132" s="20">
        <v>1</v>
      </c>
      <c r="C132" s="20">
        <v>0</v>
      </c>
      <c r="D132" s="20">
        <v>0</v>
      </c>
      <c r="E132" s="20">
        <v>0</v>
      </c>
      <c r="F132" s="20">
        <v>1</v>
      </c>
      <c r="G132" s="20">
        <v>0</v>
      </c>
      <c r="H132" s="20">
        <v>2</v>
      </c>
      <c r="I132" s="20">
        <v>2</v>
      </c>
      <c r="J132" s="20">
        <v>2</v>
      </c>
      <c r="K132" s="20">
        <v>1</v>
      </c>
    </row>
    <row r="133" spans="1:11" s="20" customFormat="1" ht="15" x14ac:dyDescent="0.25">
      <c r="A133" s="20" t="s">
        <v>136</v>
      </c>
      <c r="B133" s="20">
        <v>1</v>
      </c>
      <c r="C133" s="20">
        <v>3</v>
      </c>
      <c r="D133" s="20">
        <v>2</v>
      </c>
      <c r="E133" s="20">
        <v>0</v>
      </c>
      <c r="F133" s="20">
        <v>2</v>
      </c>
      <c r="G133" s="20">
        <v>1</v>
      </c>
      <c r="H133" s="20">
        <v>1</v>
      </c>
      <c r="I133" s="20">
        <v>1</v>
      </c>
      <c r="J133" s="20">
        <v>2</v>
      </c>
      <c r="K133" s="20">
        <v>1</v>
      </c>
    </row>
    <row r="134" spans="1:11" s="20" customFormat="1" ht="15" x14ac:dyDescent="0.25">
      <c r="A134" s="20" t="s">
        <v>137</v>
      </c>
      <c r="B134" s="20">
        <v>1</v>
      </c>
      <c r="C134" s="20">
        <v>0</v>
      </c>
      <c r="D134" s="20">
        <v>0</v>
      </c>
      <c r="E134" s="20">
        <v>0</v>
      </c>
      <c r="F134" s="20">
        <v>0</v>
      </c>
      <c r="G134" s="20">
        <v>1</v>
      </c>
      <c r="H134" s="20">
        <v>1</v>
      </c>
      <c r="I134" s="20">
        <v>1</v>
      </c>
      <c r="J134" s="20">
        <v>3</v>
      </c>
      <c r="K134" s="20">
        <v>0</v>
      </c>
    </row>
    <row r="136" spans="1:11" ht="9.9499999999999993" customHeight="1" x14ac:dyDescent="0.15"/>
    <row r="137" spans="1:11" ht="26.1" customHeight="1" x14ac:dyDescent="0.15">
      <c r="A137" s="11" t="s">
        <v>53</v>
      </c>
      <c r="B137" s="8"/>
      <c r="C137" s="8"/>
      <c r="D137" s="8"/>
      <c r="E137" s="8"/>
      <c r="F137" s="8"/>
      <c r="G137" s="8"/>
      <c r="H137" s="8"/>
      <c r="I137" s="8"/>
      <c r="J137" s="8"/>
    </row>
    <row r="138" spans="1:11" ht="30" customHeight="1" x14ac:dyDescent="0.15">
      <c r="A138" s="12" t="s">
        <v>488</v>
      </c>
      <c r="B138" s="8"/>
      <c r="C138" s="8"/>
      <c r="D138" s="8"/>
      <c r="E138" s="8"/>
      <c r="F138" s="8"/>
      <c r="G138" s="8"/>
      <c r="H138" s="8"/>
      <c r="I138" s="8"/>
      <c r="J138" s="8"/>
    </row>
    <row r="139" spans="1:11" ht="6" customHeight="1" x14ac:dyDescent="0.15"/>
    <row r="140" spans="1:11" ht="30" customHeight="1" x14ac:dyDescent="0.15">
      <c r="A140" s="12" t="s">
        <v>489</v>
      </c>
      <c r="B140" s="8"/>
      <c r="C140" s="8"/>
      <c r="D140" s="8"/>
      <c r="E140" s="8"/>
      <c r="F140" s="8"/>
      <c r="G140" s="8"/>
      <c r="H140" s="8"/>
      <c r="I140" s="8"/>
      <c r="J140" s="8"/>
    </row>
    <row r="141" spans="1:11" ht="6" customHeight="1" x14ac:dyDescent="0.15"/>
    <row r="142" spans="1:11" ht="30" customHeight="1" x14ac:dyDescent="0.15">
      <c r="A142" s="12" t="s">
        <v>316</v>
      </c>
      <c r="B142" s="8"/>
      <c r="C142" s="8"/>
      <c r="D142" s="8"/>
      <c r="E142" s="8"/>
      <c r="F142" s="8"/>
      <c r="G142" s="8"/>
      <c r="H142" s="8"/>
      <c r="I142" s="8"/>
      <c r="J142" s="8"/>
    </row>
    <row r="143" spans="1:11" ht="30" customHeight="1" x14ac:dyDescent="0.15">
      <c r="A143" s="7" t="s">
        <v>490</v>
      </c>
      <c r="B143" s="8"/>
      <c r="C143" s="8"/>
      <c r="D143" s="8"/>
      <c r="E143" s="8"/>
      <c r="F143" s="8"/>
      <c r="G143" s="8"/>
      <c r="H143" s="8"/>
      <c r="I143" s="8"/>
      <c r="J143" s="8"/>
    </row>
    <row r="144" spans="1:11" ht="30" customHeight="1" x14ac:dyDescent="0.15">
      <c r="A144" s="7" t="s">
        <v>491</v>
      </c>
      <c r="B144" s="8"/>
      <c r="C144" s="8"/>
      <c r="D144" s="8"/>
      <c r="E144" s="8"/>
      <c r="F144" s="8"/>
      <c r="G144" s="8"/>
      <c r="H144" s="8"/>
      <c r="I144" s="8"/>
      <c r="J144" s="8"/>
    </row>
    <row r="145" spans="1:10" ht="30" customHeight="1" x14ac:dyDescent="0.15">
      <c r="A145" s="7" t="s">
        <v>492</v>
      </c>
      <c r="B145" s="8"/>
      <c r="C145" s="8"/>
      <c r="D145" s="8"/>
      <c r="E145" s="8"/>
      <c r="F145" s="8"/>
      <c r="G145" s="8"/>
      <c r="H145" s="8"/>
      <c r="I145" s="8"/>
      <c r="J145" s="8"/>
    </row>
    <row r="146" spans="1:10" ht="6" customHeight="1" x14ac:dyDescent="0.15"/>
    <row r="147" spans="1:10" ht="30" customHeight="1" x14ac:dyDescent="0.15">
      <c r="A147" s="12" t="s">
        <v>493</v>
      </c>
      <c r="B147" s="8"/>
      <c r="C147" s="8"/>
      <c r="D147" s="8"/>
      <c r="E147" s="8"/>
      <c r="F147" s="8"/>
      <c r="G147" s="8"/>
      <c r="H147" s="8"/>
      <c r="I147" s="8"/>
      <c r="J147" s="8"/>
    </row>
    <row r="148" spans="1:10" ht="9.9499999999999993" customHeight="1" x14ac:dyDescent="0.15"/>
    <row r="149" spans="1:10" ht="9.9499999999999993" customHeight="1" x14ac:dyDescent="0.15"/>
    <row r="150" spans="1:10" x14ac:dyDescent="0.15">
      <c r="A150" s="13" t="s">
        <v>62</v>
      </c>
      <c r="B150" s="8"/>
      <c r="C150" s="8"/>
      <c r="D150" s="8"/>
      <c r="E150" s="8"/>
      <c r="F150" s="8"/>
      <c r="G150" s="8"/>
      <c r="H150" s="8"/>
      <c r="I150" s="8"/>
      <c r="J150" s="8"/>
    </row>
  </sheetData>
  <mergeCells count="19">
    <mergeCell ref="A1:J1"/>
    <mergeCell ref="A137:J137"/>
    <mergeCell ref="A75:J75"/>
    <mergeCell ref="A145:J145"/>
    <mergeCell ref="A21:J21"/>
    <mergeCell ref="A12:J12"/>
    <mergeCell ref="A2:J2"/>
    <mergeCell ref="A5:J5"/>
    <mergeCell ref="A150:J150"/>
    <mergeCell ref="A144:J144"/>
    <mergeCell ref="A140:J140"/>
    <mergeCell ref="A4:J4"/>
    <mergeCell ref="A20:J20"/>
    <mergeCell ref="A147:J147"/>
    <mergeCell ref="A102:J102"/>
    <mergeCell ref="A143:J143"/>
    <mergeCell ref="A48:J48"/>
    <mergeCell ref="A142:J142"/>
    <mergeCell ref="A138:J138"/>
  </mergeCells>
  <phoneticPr fontId="13" type="noConversion"/>
  <conditionalFormatting sqref="B131:K134">
    <cfRule type="colorScale" priority="1">
      <colorScale>
        <cfvo type="min"/>
        <cfvo type="percentile" val="50"/>
        <cfvo type="max"/>
        <color rgb="FFF7FCF5"/>
        <color rgb="FFFEB24C"/>
        <color rgb="FFE31A1C"/>
      </colorScale>
    </cfRule>
  </conditionalFormatting>
  <pageMargins left="0.75" right="0.75" top="1" bottom="1" header="0.5" footer="0.5"/>
  <pageSetup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AB308"/>
    <pageSetUpPr fitToPage="1"/>
  </sheetPr>
  <dimension ref="A1:J117"/>
  <sheetViews>
    <sheetView workbookViewId="0">
      <selection activeCell="G77" sqref="G77"/>
    </sheetView>
  </sheetViews>
  <sheetFormatPr defaultRowHeight="13.5" x14ac:dyDescent="0.15"/>
  <cols>
    <col min="1" max="1" width="20" customWidth="1"/>
    <col min="2" max="3" width="10" customWidth="1"/>
    <col min="4" max="4" width="21" customWidth="1"/>
    <col min="5" max="5" width="12" customWidth="1"/>
    <col min="6" max="6" width="50" customWidth="1"/>
  </cols>
  <sheetData>
    <row r="1" spans="1:10" ht="36" customHeight="1" x14ac:dyDescent="0.15">
      <c r="A1" s="9" t="s">
        <v>28</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184</v>
      </c>
      <c r="B4" s="8"/>
      <c r="C4" s="8"/>
      <c r="D4" s="8"/>
      <c r="E4" s="8"/>
      <c r="F4" s="8"/>
      <c r="G4" s="8"/>
      <c r="H4" s="8"/>
      <c r="I4" s="8"/>
      <c r="J4" s="8"/>
    </row>
    <row r="5" spans="1:10" ht="26.1" customHeight="1" x14ac:dyDescent="0.15">
      <c r="A5" s="10" t="s">
        <v>494</v>
      </c>
      <c r="B5" s="8"/>
      <c r="C5" s="8"/>
      <c r="D5" s="8"/>
      <c r="E5" s="8"/>
      <c r="F5" s="8"/>
      <c r="G5" s="8"/>
      <c r="H5" s="8"/>
      <c r="I5" s="8"/>
      <c r="J5" s="8"/>
    </row>
    <row r="6" spans="1:10" ht="20.100000000000001" customHeight="1" x14ac:dyDescent="0.15">
      <c r="A6" s="1" t="s">
        <v>5</v>
      </c>
      <c r="B6" s="1" t="s">
        <v>71</v>
      </c>
      <c r="C6" s="1" t="s">
        <v>186</v>
      </c>
      <c r="D6" s="1" t="s">
        <v>495</v>
      </c>
      <c r="E6" s="1" t="s">
        <v>496</v>
      </c>
    </row>
    <row r="7" spans="1:10" ht="18" customHeight="1" x14ac:dyDescent="0.15">
      <c r="A7" s="2" t="s">
        <v>138</v>
      </c>
      <c r="B7" s="5">
        <v>14</v>
      </c>
      <c r="C7" s="2" t="s">
        <v>448</v>
      </c>
      <c r="D7" s="2" t="s">
        <v>497</v>
      </c>
      <c r="E7" s="2" t="s">
        <v>498</v>
      </c>
    </row>
    <row r="8" spans="1:10" ht="18" customHeight="1" x14ac:dyDescent="0.15">
      <c r="A8" s="3" t="s">
        <v>139</v>
      </c>
      <c r="B8" s="6">
        <v>16</v>
      </c>
      <c r="C8" s="3" t="s">
        <v>499</v>
      </c>
      <c r="D8" s="3" t="s">
        <v>500</v>
      </c>
      <c r="E8" s="3" t="s">
        <v>501</v>
      </c>
    </row>
    <row r="9" spans="1:10" ht="18" customHeight="1" x14ac:dyDescent="0.15">
      <c r="A9" s="2" t="s">
        <v>140</v>
      </c>
      <c r="B9" s="5">
        <v>8</v>
      </c>
      <c r="C9" s="2" t="s">
        <v>502</v>
      </c>
      <c r="D9" s="2" t="s">
        <v>503</v>
      </c>
      <c r="E9" s="2" t="s">
        <v>504</v>
      </c>
    </row>
    <row r="10" spans="1:10" ht="18" customHeight="1" x14ac:dyDescent="0.15">
      <c r="A10" s="3" t="s">
        <v>141</v>
      </c>
      <c r="B10" s="6">
        <v>10</v>
      </c>
      <c r="C10" s="3" t="s">
        <v>505</v>
      </c>
      <c r="D10" s="3" t="s">
        <v>506</v>
      </c>
      <c r="E10" s="3" t="s">
        <v>507</v>
      </c>
    </row>
    <row r="11" spans="1:10" ht="18" customHeight="1" x14ac:dyDescent="0.15">
      <c r="A11" s="2" t="s">
        <v>142</v>
      </c>
      <c r="B11" s="5">
        <v>2</v>
      </c>
      <c r="C11" s="2" t="s">
        <v>508</v>
      </c>
      <c r="D11" s="2" t="s">
        <v>509</v>
      </c>
      <c r="E11" s="2" t="s">
        <v>507</v>
      </c>
    </row>
    <row r="12" spans="1:10" ht="9.9499999999999993" customHeight="1" x14ac:dyDescent="0.15"/>
    <row r="13" spans="1:10" ht="26.1" customHeight="1" x14ac:dyDescent="0.15">
      <c r="A13" s="10" t="s">
        <v>510</v>
      </c>
      <c r="B13" s="8"/>
      <c r="C13" s="8"/>
      <c r="D13" s="8"/>
      <c r="E13" s="8"/>
      <c r="F13" s="8"/>
      <c r="G13" s="8"/>
      <c r="H13" s="8"/>
      <c r="I13" s="8"/>
      <c r="J13" s="8"/>
    </row>
    <row r="14" spans="1:10" ht="20.100000000000001" customHeight="1" x14ac:dyDescent="0.15">
      <c r="A14" s="1" t="s">
        <v>93</v>
      </c>
      <c r="B14" s="1" t="s">
        <v>71</v>
      </c>
      <c r="C14" s="1" t="s">
        <v>186</v>
      </c>
      <c r="D14" s="1" t="s">
        <v>511</v>
      </c>
      <c r="E14" s="1" t="s">
        <v>512</v>
      </c>
      <c r="F14" s="1" t="s">
        <v>513</v>
      </c>
    </row>
    <row r="15" spans="1:10" ht="18" customHeight="1" x14ac:dyDescent="0.15">
      <c r="A15" s="2" t="s">
        <v>514</v>
      </c>
      <c r="B15" s="5">
        <v>15</v>
      </c>
      <c r="C15" s="2" t="s">
        <v>417</v>
      </c>
      <c r="D15" s="5">
        <v>15</v>
      </c>
      <c r="E15" s="2" t="s">
        <v>515</v>
      </c>
      <c r="F15" s="2" t="s">
        <v>516</v>
      </c>
    </row>
    <row r="16" spans="1:10" ht="18" customHeight="1" x14ac:dyDescent="0.15">
      <c r="A16" s="3" t="s">
        <v>517</v>
      </c>
      <c r="B16" s="6">
        <v>8</v>
      </c>
      <c r="C16" s="3" t="s">
        <v>502</v>
      </c>
      <c r="D16" s="6">
        <v>8</v>
      </c>
      <c r="E16" s="3" t="s">
        <v>518</v>
      </c>
      <c r="F16" s="3" t="s">
        <v>519</v>
      </c>
    </row>
    <row r="17" spans="1:10" ht="18" customHeight="1" x14ac:dyDescent="0.15">
      <c r="A17" s="2" t="s">
        <v>520</v>
      </c>
      <c r="B17" s="5">
        <v>11</v>
      </c>
      <c r="C17" s="2" t="s">
        <v>521</v>
      </c>
      <c r="D17" s="5">
        <v>11</v>
      </c>
      <c r="E17" s="2" t="s">
        <v>464</v>
      </c>
      <c r="F17" s="2" t="s">
        <v>522</v>
      </c>
    </row>
    <row r="18" spans="1:10" ht="18" customHeight="1" x14ac:dyDescent="0.15">
      <c r="A18" s="3" t="s">
        <v>523</v>
      </c>
      <c r="B18" s="6">
        <v>13</v>
      </c>
      <c r="C18" s="3" t="s">
        <v>524</v>
      </c>
      <c r="D18" s="6">
        <v>13</v>
      </c>
      <c r="E18" s="3" t="s">
        <v>525</v>
      </c>
      <c r="F18" s="3" t="s">
        <v>526</v>
      </c>
    </row>
    <row r="19" spans="1:10" ht="18" customHeight="1" x14ac:dyDescent="0.15">
      <c r="A19" s="2" t="s">
        <v>400</v>
      </c>
      <c r="B19" s="5">
        <v>3</v>
      </c>
      <c r="C19" s="2" t="s">
        <v>527</v>
      </c>
      <c r="D19" s="5">
        <v>3</v>
      </c>
      <c r="E19" s="2" t="s">
        <v>17</v>
      </c>
      <c r="F19" s="2" t="s">
        <v>528</v>
      </c>
    </row>
    <row r="20" spans="1:10" ht="9.9499999999999993" customHeight="1" x14ac:dyDescent="0.15"/>
    <row r="21" spans="1:10" ht="26.1" customHeight="1" x14ac:dyDescent="0.15">
      <c r="A21" s="10" t="s">
        <v>33</v>
      </c>
      <c r="B21" s="8"/>
      <c r="C21" s="8"/>
      <c r="D21" s="8"/>
      <c r="E21" s="8"/>
      <c r="F21" s="8"/>
      <c r="G21" s="8"/>
      <c r="H21" s="8"/>
      <c r="I21" s="8"/>
      <c r="J21" s="8"/>
    </row>
    <row r="22" spans="1:10" ht="15.95" customHeight="1" x14ac:dyDescent="0.15">
      <c r="A22" s="14" t="s">
        <v>529</v>
      </c>
      <c r="B22" s="8"/>
      <c r="C22" s="8"/>
      <c r="D22" s="8"/>
      <c r="E22" s="8"/>
      <c r="F22" s="8"/>
      <c r="G22" s="8"/>
      <c r="H22" s="8"/>
      <c r="I22" s="8"/>
      <c r="J22" s="8"/>
    </row>
    <row r="49" spans="1:10" ht="15.95" customHeight="1" x14ac:dyDescent="0.15">
      <c r="A49" s="14" t="s">
        <v>530</v>
      </c>
      <c r="B49" s="8"/>
      <c r="C49" s="8"/>
      <c r="D49" s="8"/>
      <c r="E49" s="8"/>
      <c r="F49" s="8"/>
      <c r="G49" s="8"/>
      <c r="H49" s="8"/>
      <c r="I49" s="8"/>
      <c r="J49" s="8"/>
    </row>
    <row r="76" spans="1:10" ht="15.95" customHeight="1" x14ac:dyDescent="0.15">
      <c r="A76" s="14" t="s">
        <v>531</v>
      </c>
      <c r="B76" s="8"/>
      <c r="C76" s="8"/>
      <c r="D76" s="8"/>
      <c r="E76" s="8"/>
      <c r="F76" s="8"/>
      <c r="G76" s="8"/>
      <c r="H76" s="8"/>
      <c r="I76" s="8"/>
      <c r="J76" s="8"/>
    </row>
    <row r="103" spans="1:10" ht="9.9499999999999993" customHeight="1" x14ac:dyDescent="0.15"/>
    <row r="104" spans="1:10" ht="26.1" customHeight="1" x14ac:dyDescent="0.15">
      <c r="A104" s="11" t="s">
        <v>53</v>
      </c>
      <c r="B104" s="8"/>
      <c r="C104" s="8"/>
      <c r="D104" s="8"/>
      <c r="E104" s="8"/>
      <c r="F104" s="8"/>
      <c r="G104" s="8"/>
      <c r="H104" s="8"/>
      <c r="I104" s="8"/>
      <c r="J104" s="8"/>
    </row>
    <row r="105" spans="1:10" ht="30" customHeight="1" x14ac:dyDescent="0.15">
      <c r="A105" s="12" t="s">
        <v>532</v>
      </c>
      <c r="B105" s="8"/>
      <c r="C105" s="8"/>
      <c r="D105" s="8"/>
      <c r="E105" s="8"/>
      <c r="F105" s="8"/>
      <c r="G105" s="8"/>
      <c r="H105" s="8"/>
      <c r="I105" s="8"/>
      <c r="J105" s="8"/>
    </row>
    <row r="106" spans="1:10" ht="6" customHeight="1" x14ac:dyDescent="0.15"/>
    <row r="107" spans="1:10" ht="30" customHeight="1" x14ac:dyDescent="0.15">
      <c r="A107" s="12" t="s">
        <v>533</v>
      </c>
      <c r="B107" s="8"/>
      <c r="C107" s="8"/>
      <c r="D107" s="8"/>
      <c r="E107" s="8"/>
      <c r="F107" s="8"/>
      <c r="G107" s="8"/>
      <c r="H107" s="8"/>
      <c r="I107" s="8"/>
      <c r="J107" s="8"/>
    </row>
    <row r="108" spans="1:10" ht="6" customHeight="1" x14ac:dyDescent="0.15"/>
    <row r="109" spans="1:10" ht="30" customHeight="1" x14ac:dyDescent="0.15">
      <c r="A109" s="12" t="s">
        <v>316</v>
      </c>
      <c r="B109" s="8"/>
      <c r="C109" s="8"/>
      <c r="D109" s="8"/>
      <c r="E109" s="8"/>
      <c r="F109" s="8"/>
      <c r="G109" s="8"/>
      <c r="H109" s="8"/>
      <c r="I109" s="8"/>
      <c r="J109" s="8"/>
    </row>
    <row r="110" spans="1:10" ht="30" customHeight="1" x14ac:dyDescent="0.15">
      <c r="A110" s="7" t="s">
        <v>534</v>
      </c>
      <c r="B110" s="8"/>
      <c r="C110" s="8"/>
      <c r="D110" s="8"/>
      <c r="E110" s="8"/>
      <c r="F110" s="8"/>
      <c r="G110" s="8"/>
      <c r="H110" s="8"/>
      <c r="I110" s="8"/>
      <c r="J110" s="8"/>
    </row>
    <row r="111" spans="1:10" ht="30" customHeight="1" x14ac:dyDescent="0.15">
      <c r="A111" s="7" t="s">
        <v>535</v>
      </c>
      <c r="B111" s="8"/>
      <c r="C111" s="8"/>
      <c r="D111" s="8"/>
      <c r="E111" s="8"/>
      <c r="F111" s="8"/>
      <c r="G111" s="8"/>
      <c r="H111" s="8"/>
      <c r="I111" s="8"/>
      <c r="J111" s="8"/>
    </row>
    <row r="112" spans="1:10" ht="30" customHeight="1" x14ac:dyDescent="0.15">
      <c r="A112" s="7" t="s">
        <v>536</v>
      </c>
      <c r="B112" s="8"/>
      <c r="C112" s="8"/>
      <c r="D112" s="8"/>
      <c r="E112" s="8"/>
      <c r="F112" s="8"/>
      <c r="G112" s="8"/>
      <c r="H112" s="8"/>
      <c r="I112" s="8"/>
      <c r="J112" s="8"/>
    </row>
    <row r="113" spans="1:10" ht="6" customHeight="1" x14ac:dyDescent="0.15"/>
    <row r="114" spans="1:10" ht="30" customHeight="1" x14ac:dyDescent="0.15">
      <c r="A114" s="12" t="s">
        <v>537</v>
      </c>
      <c r="B114" s="8"/>
      <c r="C114" s="8"/>
      <c r="D114" s="8"/>
      <c r="E114" s="8"/>
      <c r="F114" s="8"/>
      <c r="G114" s="8"/>
      <c r="H114" s="8"/>
      <c r="I114" s="8"/>
      <c r="J114" s="8"/>
    </row>
    <row r="115" spans="1:10" ht="9.9499999999999993" customHeight="1" x14ac:dyDescent="0.15"/>
    <row r="116" spans="1:10" ht="9.9499999999999993" customHeight="1" x14ac:dyDescent="0.15"/>
    <row r="117" spans="1:10" x14ac:dyDescent="0.15">
      <c r="A117" s="13" t="s">
        <v>62</v>
      </c>
      <c r="B117" s="8"/>
      <c r="C117" s="8"/>
      <c r="D117" s="8"/>
      <c r="E117" s="8"/>
      <c r="F117" s="8"/>
      <c r="G117" s="8"/>
      <c r="H117" s="8"/>
      <c r="I117" s="8"/>
      <c r="J117" s="8"/>
    </row>
  </sheetData>
  <mergeCells count="18">
    <mergeCell ref="A13:J13"/>
    <mergeCell ref="A49:J49"/>
    <mergeCell ref="A107:J107"/>
    <mergeCell ref="A1:J1"/>
    <mergeCell ref="A5:J5"/>
    <mergeCell ref="A117:J117"/>
    <mergeCell ref="A111:J111"/>
    <mergeCell ref="A22:J22"/>
    <mergeCell ref="A110:J110"/>
    <mergeCell ref="A21:J21"/>
    <mergeCell ref="A105:J105"/>
    <mergeCell ref="A109:J109"/>
    <mergeCell ref="A114:J114"/>
    <mergeCell ref="A4:J4"/>
    <mergeCell ref="A2:J2"/>
    <mergeCell ref="A104:J104"/>
    <mergeCell ref="A112:J112"/>
    <mergeCell ref="A76:J76"/>
  </mergeCells>
  <phoneticPr fontId="13" type="noConversion"/>
  <pageMargins left="0.75" right="0.75" top="1" bottom="1" header="0.5" footer="0.5"/>
  <pageSetup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6B6D4"/>
    <pageSetUpPr fitToPage="1"/>
  </sheetPr>
  <dimension ref="A1:J59"/>
  <sheetViews>
    <sheetView workbookViewId="0">
      <selection sqref="A1:J1"/>
    </sheetView>
  </sheetViews>
  <sheetFormatPr defaultRowHeight="13.5" x14ac:dyDescent="0.15"/>
  <cols>
    <col min="1" max="1" width="18" customWidth="1"/>
    <col min="2" max="2" width="10" customWidth="1"/>
    <col min="3" max="3" width="16" customWidth="1"/>
    <col min="4" max="4" width="18" customWidth="1"/>
    <col min="5" max="5" width="10" customWidth="1"/>
  </cols>
  <sheetData>
    <row r="1" spans="1:10" ht="36" customHeight="1" x14ac:dyDescent="0.15">
      <c r="A1" s="9" t="s">
        <v>29</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184</v>
      </c>
      <c r="B4" s="8"/>
      <c r="C4" s="8"/>
      <c r="D4" s="8"/>
      <c r="E4" s="8"/>
      <c r="F4" s="8"/>
      <c r="G4" s="8"/>
      <c r="H4" s="8"/>
      <c r="I4" s="8"/>
      <c r="J4" s="8"/>
    </row>
    <row r="5" spans="1:10" ht="26.1" customHeight="1" x14ac:dyDescent="0.15">
      <c r="A5" s="10" t="s">
        <v>538</v>
      </c>
      <c r="B5" s="8"/>
      <c r="C5" s="8"/>
      <c r="D5" s="8"/>
      <c r="E5" s="8"/>
      <c r="F5" s="8"/>
      <c r="G5" s="8"/>
      <c r="H5" s="8"/>
      <c r="I5" s="8"/>
      <c r="J5" s="8"/>
    </row>
    <row r="6" spans="1:10" ht="20.100000000000001" customHeight="1" x14ac:dyDescent="0.15">
      <c r="A6" s="1" t="s">
        <v>539</v>
      </c>
      <c r="B6" s="1" t="s">
        <v>108</v>
      </c>
      <c r="C6" s="1" t="s">
        <v>540</v>
      </c>
      <c r="D6" s="1" t="s">
        <v>541</v>
      </c>
      <c r="E6" s="1" t="s">
        <v>39</v>
      </c>
    </row>
    <row r="7" spans="1:10" ht="18" customHeight="1" x14ac:dyDescent="0.15">
      <c r="A7" s="2" t="s">
        <v>542</v>
      </c>
      <c r="B7" s="2" t="s">
        <v>543</v>
      </c>
      <c r="C7" s="5">
        <v>1</v>
      </c>
      <c r="D7" s="2" t="s">
        <v>544</v>
      </c>
      <c r="E7" s="2" t="s">
        <v>545</v>
      </c>
    </row>
    <row r="8" spans="1:10" ht="18" customHeight="1" x14ac:dyDescent="0.15">
      <c r="A8" s="3" t="s">
        <v>546</v>
      </c>
      <c r="B8" s="3" t="s">
        <v>543</v>
      </c>
      <c r="C8" s="6">
        <v>1</v>
      </c>
      <c r="D8" s="3" t="s">
        <v>547</v>
      </c>
      <c r="E8" s="3" t="s">
        <v>545</v>
      </c>
    </row>
    <row r="9" spans="1:10" ht="18" customHeight="1" x14ac:dyDescent="0.15">
      <c r="A9" s="2" t="s">
        <v>548</v>
      </c>
      <c r="B9" s="2" t="s">
        <v>543</v>
      </c>
      <c r="C9" s="5">
        <v>1</v>
      </c>
      <c r="D9" s="2" t="s">
        <v>549</v>
      </c>
      <c r="E9" s="2" t="s">
        <v>545</v>
      </c>
    </row>
    <row r="10" spans="1:10" ht="18" customHeight="1" x14ac:dyDescent="0.15">
      <c r="A10" s="3" t="s">
        <v>550</v>
      </c>
      <c r="B10" s="3" t="s">
        <v>543</v>
      </c>
      <c r="C10" s="6">
        <v>1</v>
      </c>
      <c r="D10" s="3" t="s">
        <v>551</v>
      </c>
      <c r="E10" s="3" t="s">
        <v>545</v>
      </c>
    </row>
    <row r="11" spans="1:10" ht="18" customHeight="1" x14ac:dyDescent="0.15">
      <c r="A11" s="2" t="s">
        <v>552</v>
      </c>
      <c r="B11" s="2" t="s">
        <v>543</v>
      </c>
      <c r="C11" s="5">
        <v>1</v>
      </c>
      <c r="D11" s="2" t="s">
        <v>553</v>
      </c>
      <c r="E11" s="2" t="s">
        <v>545</v>
      </c>
    </row>
    <row r="12" spans="1:10" ht="18" customHeight="1" x14ac:dyDescent="0.15">
      <c r="A12" s="3" t="s">
        <v>554</v>
      </c>
      <c r="B12" s="3" t="s">
        <v>543</v>
      </c>
      <c r="C12" s="6">
        <v>1</v>
      </c>
      <c r="D12" s="3" t="s">
        <v>555</v>
      </c>
      <c r="E12" s="3" t="s">
        <v>545</v>
      </c>
    </row>
    <row r="13" spans="1:10" ht="18" customHeight="1" x14ac:dyDescent="0.15">
      <c r="A13" s="2" t="s">
        <v>556</v>
      </c>
      <c r="B13" s="2" t="s">
        <v>543</v>
      </c>
      <c r="C13" s="5">
        <v>1</v>
      </c>
      <c r="D13" s="2" t="s">
        <v>557</v>
      </c>
      <c r="E13" s="2" t="s">
        <v>545</v>
      </c>
    </row>
    <row r="14" spans="1:10" ht="18" customHeight="1" x14ac:dyDescent="0.15">
      <c r="A14" s="3" t="s">
        <v>558</v>
      </c>
      <c r="B14" s="3" t="s">
        <v>543</v>
      </c>
      <c r="C14" s="6">
        <v>1</v>
      </c>
      <c r="D14" s="3" t="s">
        <v>559</v>
      </c>
      <c r="E14" s="3" t="s">
        <v>545</v>
      </c>
    </row>
    <row r="15" spans="1:10" ht="18" customHeight="1" x14ac:dyDescent="0.15">
      <c r="A15" s="2" t="s">
        <v>560</v>
      </c>
      <c r="B15" s="2" t="s">
        <v>543</v>
      </c>
      <c r="C15" s="5">
        <v>1</v>
      </c>
      <c r="D15" s="2" t="s">
        <v>561</v>
      </c>
      <c r="E15" s="2" t="s">
        <v>545</v>
      </c>
    </row>
    <row r="16" spans="1:10" ht="9.9499999999999993" customHeight="1" x14ac:dyDescent="0.15"/>
    <row r="17" spans="1:10" ht="26.1" customHeight="1" x14ac:dyDescent="0.15">
      <c r="A17" s="10" t="s">
        <v>33</v>
      </c>
      <c r="B17" s="8"/>
      <c r="C17" s="8"/>
      <c r="D17" s="8"/>
      <c r="E17" s="8"/>
      <c r="F17" s="8"/>
      <c r="G17" s="8"/>
      <c r="H17" s="8"/>
      <c r="I17" s="8"/>
      <c r="J17" s="8"/>
    </row>
    <row r="18" spans="1:10" ht="15.95" customHeight="1" x14ac:dyDescent="0.15">
      <c r="A18" s="14" t="s">
        <v>562</v>
      </c>
      <c r="B18" s="8"/>
      <c r="C18" s="8"/>
      <c r="D18" s="8"/>
      <c r="E18" s="8"/>
      <c r="F18" s="8"/>
      <c r="G18" s="8"/>
      <c r="H18" s="8"/>
      <c r="I18" s="8"/>
      <c r="J18" s="8"/>
    </row>
    <row r="45" spans="1:10" ht="9.9499999999999993" customHeight="1" x14ac:dyDescent="0.15"/>
    <row r="46" spans="1:10" ht="26.1" customHeight="1" x14ac:dyDescent="0.15">
      <c r="A46" s="11" t="s">
        <v>53</v>
      </c>
      <c r="B46" s="8"/>
      <c r="C46" s="8"/>
      <c r="D46" s="8"/>
      <c r="E46" s="8"/>
      <c r="F46" s="8"/>
      <c r="G46" s="8"/>
      <c r="H46" s="8"/>
      <c r="I46" s="8"/>
      <c r="J46" s="8"/>
    </row>
    <row r="47" spans="1:10" ht="30" customHeight="1" x14ac:dyDescent="0.15">
      <c r="A47" s="12" t="s">
        <v>563</v>
      </c>
      <c r="B47" s="8"/>
      <c r="C47" s="8"/>
      <c r="D47" s="8"/>
      <c r="E47" s="8"/>
      <c r="F47" s="8"/>
      <c r="G47" s="8"/>
      <c r="H47" s="8"/>
      <c r="I47" s="8"/>
      <c r="J47" s="8"/>
    </row>
    <row r="48" spans="1:10" ht="6" customHeight="1" x14ac:dyDescent="0.15"/>
    <row r="49" spans="1:10" ht="30" customHeight="1" x14ac:dyDescent="0.15">
      <c r="A49" s="12" t="s">
        <v>564</v>
      </c>
      <c r="B49" s="8"/>
      <c r="C49" s="8"/>
      <c r="D49" s="8"/>
      <c r="E49" s="8"/>
      <c r="F49" s="8"/>
      <c r="G49" s="8"/>
      <c r="H49" s="8"/>
      <c r="I49" s="8"/>
      <c r="J49" s="8"/>
    </row>
    <row r="50" spans="1:10" ht="6" customHeight="1" x14ac:dyDescent="0.15"/>
    <row r="51" spans="1:10" ht="30" customHeight="1" x14ac:dyDescent="0.15">
      <c r="A51" s="12" t="s">
        <v>316</v>
      </c>
      <c r="B51" s="8"/>
      <c r="C51" s="8"/>
      <c r="D51" s="8"/>
      <c r="E51" s="8"/>
      <c r="F51" s="8"/>
      <c r="G51" s="8"/>
      <c r="H51" s="8"/>
      <c r="I51" s="8"/>
      <c r="J51" s="8"/>
    </row>
    <row r="52" spans="1:10" ht="30" customHeight="1" x14ac:dyDescent="0.15">
      <c r="A52" s="7" t="s">
        <v>565</v>
      </c>
      <c r="B52" s="8"/>
      <c r="C52" s="8"/>
      <c r="D52" s="8"/>
      <c r="E52" s="8"/>
      <c r="F52" s="8"/>
      <c r="G52" s="8"/>
      <c r="H52" s="8"/>
      <c r="I52" s="8"/>
      <c r="J52" s="8"/>
    </row>
    <row r="53" spans="1:10" ht="30" customHeight="1" x14ac:dyDescent="0.15">
      <c r="A53" s="7" t="s">
        <v>566</v>
      </c>
      <c r="B53" s="8"/>
      <c r="C53" s="8"/>
      <c r="D53" s="8"/>
      <c r="E53" s="8"/>
      <c r="F53" s="8"/>
      <c r="G53" s="8"/>
      <c r="H53" s="8"/>
      <c r="I53" s="8"/>
      <c r="J53" s="8"/>
    </row>
    <row r="54" spans="1:10" ht="30" customHeight="1" x14ac:dyDescent="0.15">
      <c r="A54" s="7" t="s">
        <v>567</v>
      </c>
      <c r="B54" s="8"/>
      <c r="C54" s="8"/>
      <c r="D54" s="8"/>
      <c r="E54" s="8"/>
      <c r="F54" s="8"/>
      <c r="G54" s="8"/>
      <c r="H54" s="8"/>
      <c r="I54" s="8"/>
      <c r="J54" s="8"/>
    </row>
    <row r="55" spans="1:10" ht="6" customHeight="1" x14ac:dyDescent="0.15"/>
    <row r="56" spans="1:10" ht="30" customHeight="1" x14ac:dyDescent="0.15">
      <c r="A56" s="12" t="s">
        <v>568</v>
      </c>
      <c r="B56" s="8"/>
      <c r="C56" s="8"/>
      <c r="D56" s="8"/>
      <c r="E56" s="8"/>
      <c r="F56" s="8"/>
      <c r="G56" s="8"/>
      <c r="H56" s="8"/>
      <c r="I56" s="8"/>
      <c r="J56" s="8"/>
    </row>
    <row r="57" spans="1:10" ht="9.9499999999999993" customHeight="1" x14ac:dyDescent="0.15"/>
    <row r="58" spans="1:10" ht="9.9499999999999993" customHeight="1" x14ac:dyDescent="0.15"/>
    <row r="59" spans="1:10" x14ac:dyDescent="0.15">
      <c r="A59" s="13" t="s">
        <v>62</v>
      </c>
      <c r="B59" s="8"/>
      <c r="C59" s="8"/>
      <c r="D59" s="8"/>
      <c r="E59" s="8"/>
      <c r="F59" s="8"/>
      <c r="G59" s="8"/>
      <c r="H59" s="8"/>
      <c r="I59" s="8"/>
      <c r="J59" s="8"/>
    </row>
  </sheetData>
  <mergeCells count="15">
    <mergeCell ref="A56:J56"/>
    <mergeCell ref="A53:J53"/>
    <mergeCell ref="A4:J4"/>
    <mergeCell ref="A59:J59"/>
    <mergeCell ref="A51:J51"/>
    <mergeCell ref="A52:J52"/>
    <mergeCell ref="A54:J54"/>
    <mergeCell ref="A49:J49"/>
    <mergeCell ref="A47:J47"/>
    <mergeCell ref="A1:J1"/>
    <mergeCell ref="A5:J5"/>
    <mergeCell ref="A46:J46"/>
    <mergeCell ref="A17:J17"/>
    <mergeCell ref="A18:J18"/>
    <mergeCell ref="A2:J2"/>
  </mergeCells>
  <phoneticPr fontId="13" type="noConversion"/>
  <pageMargins left="0.75" right="0.75" top="1" bottom="1" header="0.5" footer="0.5"/>
  <pageSetup fitToHeight="0"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97316"/>
    <pageSetUpPr fitToPage="1"/>
  </sheetPr>
  <dimension ref="A1:T148"/>
  <sheetViews>
    <sheetView workbookViewId="0">
      <selection activeCell="A116" sqref="A116"/>
    </sheetView>
  </sheetViews>
  <sheetFormatPr defaultRowHeight="13.5" x14ac:dyDescent="0.15"/>
  <cols>
    <col min="1" max="1" width="32" customWidth="1"/>
    <col min="2" max="2" width="12" customWidth="1"/>
    <col min="3" max="3" width="21" customWidth="1"/>
    <col min="4" max="4" width="12" customWidth="1"/>
    <col min="5" max="5" width="10" customWidth="1"/>
    <col min="6" max="6" width="12" customWidth="1"/>
    <col min="7" max="7" width="11" customWidth="1"/>
    <col min="8" max="8" width="10" customWidth="1"/>
    <col min="9" max="9" width="27" customWidth="1"/>
  </cols>
  <sheetData>
    <row r="1" spans="1:10" ht="36" customHeight="1" x14ac:dyDescent="0.15">
      <c r="A1" s="9" t="s">
        <v>30</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184</v>
      </c>
      <c r="B4" s="8"/>
      <c r="C4" s="8"/>
      <c r="D4" s="8"/>
      <c r="E4" s="8"/>
      <c r="F4" s="8"/>
      <c r="G4" s="8"/>
      <c r="H4" s="8"/>
      <c r="I4" s="8"/>
      <c r="J4" s="8"/>
    </row>
    <row r="5" spans="1:10" ht="26.1" customHeight="1" x14ac:dyDescent="0.15">
      <c r="A5" s="10" t="s">
        <v>569</v>
      </c>
      <c r="B5" s="8"/>
      <c r="C5" s="8"/>
      <c r="D5" s="8"/>
      <c r="E5" s="8"/>
      <c r="F5" s="8"/>
      <c r="G5" s="8"/>
      <c r="H5" s="8"/>
      <c r="I5" s="8"/>
      <c r="J5" s="8"/>
    </row>
    <row r="6" spans="1:10" ht="20.100000000000001" customHeight="1" x14ac:dyDescent="0.15">
      <c r="A6" s="1" t="s">
        <v>570</v>
      </c>
      <c r="B6" s="1" t="s">
        <v>71</v>
      </c>
      <c r="C6" s="1" t="s">
        <v>186</v>
      </c>
      <c r="D6" s="1" t="s">
        <v>188</v>
      </c>
      <c r="E6" s="1" t="s">
        <v>571</v>
      </c>
      <c r="F6" s="1" t="s">
        <v>190</v>
      </c>
      <c r="G6" s="1" t="s">
        <v>191</v>
      </c>
      <c r="H6" s="1" t="s">
        <v>122</v>
      </c>
      <c r="I6" s="1" t="s">
        <v>572</v>
      </c>
    </row>
    <row r="7" spans="1:10" ht="18" customHeight="1" x14ac:dyDescent="0.15">
      <c r="A7" s="2" t="s">
        <v>573</v>
      </c>
      <c r="B7" s="5">
        <v>361</v>
      </c>
      <c r="C7" s="2" t="s">
        <v>508</v>
      </c>
      <c r="D7" s="2" t="s">
        <v>574</v>
      </c>
      <c r="E7" s="2" t="s">
        <v>575</v>
      </c>
      <c r="F7" s="2" t="s">
        <v>17</v>
      </c>
      <c r="G7" s="2" t="s">
        <v>576</v>
      </c>
      <c r="H7" s="2" t="s">
        <v>15</v>
      </c>
      <c r="I7" s="2" t="s">
        <v>94</v>
      </c>
    </row>
    <row r="8" spans="1:10" ht="18" customHeight="1" x14ac:dyDescent="0.15">
      <c r="A8" s="3" t="s">
        <v>156</v>
      </c>
      <c r="B8" s="6">
        <v>389</v>
      </c>
      <c r="C8" s="3" t="s">
        <v>577</v>
      </c>
      <c r="D8" s="3" t="s">
        <v>578</v>
      </c>
      <c r="E8" s="3" t="s">
        <v>579</v>
      </c>
      <c r="F8" s="3" t="s">
        <v>17</v>
      </c>
      <c r="G8" s="3" t="s">
        <v>580</v>
      </c>
      <c r="H8" s="3" t="s">
        <v>15</v>
      </c>
      <c r="I8" s="3" t="s">
        <v>94</v>
      </c>
    </row>
    <row r="9" spans="1:10" ht="18" customHeight="1" x14ac:dyDescent="0.15">
      <c r="A9" s="2" t="s">
        <v>160</v>
      </c>
      <c r="B9" s="5">
        <v>381</v>
      </c>
      <c r="C9" s="2" t="s">
        <v>581</v>
      </c>
      <c r="D9" s="2" t="s">
        <v>258</v>
      </c>
      <c r="E9" s="2" t="s">
        <v>582</v>
      </c>
      <c r="F9" s="2" t="s">
        <v>17</v>
      </c>
      <c r="G9" s="2" t="s">
        <v>583</v>
      </c>
      <c r="H9" s="2" t="s">
        <v>15</v>
      </c>
      <c r="I9" s="2" t="s">
        <v>94</v>
      </c>
    </row>
    <row r="10" spans="1:10" ht="18" customHeight="1" x14ac:dyDescent="0.15">
      <c r="A10" s="3" t="s">
        <v>337</v>
      </c>
      <c r="B10" s="6">
        <v>374</v>
      </c>
      <c r="C10" s="3" t="s">
        <v>581</v>
      </c>
      <c r="D10" s="3" t="s">
        <v>584</v>
      </c>
      <c r="E10" s="3" t="s">
        <v>211</v>
      </c>
      <c r="F10" s="3" t="s">
        <v>17</v>
      </c>
      <c r="G10" s="3" t="s">
        <v>585</v>
      </c>
      <c r="H10" s="3" t="s">
        <v>15</v>
      </c>
      <c r="I10" s="3" t="s">
        <v>94</v>
      </c>
    </row>
    <row r="11" spans="1:10" ht="18" customHeight="1" x14ac:dyDescent="0.15">
      <c r="A11" s="2" t="s">
        <v>153</v>
      </c>
      <c r="B11" s="5">
        <v>414</v>
      </c>
      <c r="C11" s="2" t="s">
        <v>242</v>
      </c>
      <c r="D11" s="2" t="s">
        <v>230</v>
      </c>
      <c r="E11" s="2" t="s">
        <v>586</v>
      </c>
      <c r="F11" s="2" t="s">
        <v>17</v>
      </c>
      <c r="G11" s="2" t="s">
        <v>587</v>
      </c>
      <c r="H11" s="2" t="s">
        <v>15</v>
      </c>
      <c r="I11" s="2" t="s">
        <v>94</v>
      </c>
    </row>
    <row r="12" spans="1:10" ht="18" customHeight="1" x14ac:dyDescent="0.15">
      <c r="A12" s="3" t="s">
        <v>351</v>
      </c>
      <c r="B12" s="6">
        <v>360</v>
      </c>
      <c r="C12" s="3" t="s">
        <v>508</v>
      </c>
      <c r="D12" s="3" t="s">
        <v>588</v>
      </c>
      <c r="E12" s="3" t="s">
        <v>575</v>
      </c>
      <c r="F12" s="3" t="s">
        <v>17</v>
      </c>
      <c r="G12" s="3" t="s">
        <v>589</v>
      </c>
      <c r="H12" s="3" t="s">
        <v>15</v>
      </c>
      <c r="I12" s="3" t="s">
        <v>94</v>
      </c>
    </row>
    <row r="13" spans="1:10" ht="18" customHeight="1" x14ac:dyDescent="0.15">
      <c r="A13" s="2" t="s">
        <v>167</v>
      </c>
      <c r="B13" s="5">
        <v>375</v>
      </c>
      <c r="C13" s="2" t="s">
        <v>581</v>
      </c>
      <c r="D13" s="2" t="s">
        <v>590</v>
      </c>
      <c r="E13" s="2" t="s">
        <v>579</v>
      </c>
      <c r="F13" s="2" t="s">
        <v>17</v>
      </c>
      <c r="G13" s="2" t="s">
        <v>591</v>
      </c>
      <c r="H13" s="2" t="s">
        <v>15</v>
      </c>
      <c r="I13" s="2" t="s">
        <v>94</v>
      </c>
    </row>
    <row r="14" spans="1:10" ht="18" customHeight="1" x14ac:dyDescent="0.15">
      <c r="A14" s="3" t="s">
        <v>163</v>
      </c>
      <c r="B14" s="6">
        <v>379</v>
      </c>
      <c r="C14" s="3" t="s">
        <v>581</v>
      </c>
      <c r="D14" s="3" t="s">
        <v>584</v>
      </c>
      <c r="E14" s="3" t="s">
        <v>579</v>
      </c>
      <c r="F14" s="3" t="s">
        <v>17</v>
      </c>
      <c r="G14" s="3" t="s">
        <v>592</v>
      </c>
      <c r="H14" s="3" t="s">
        <v>15</v>
      </c>
      <c r="I14" s="3" t="s">
        <v>94</v>
      </c>
    </row>
    <row r="15" spans="1:10" ht="18" customHeight="1" x14ac:dyDescent="0.15">
      <c r="A15" s="2" t="s">
        <v>164</v>
      </c>
      <c r="B15" s="5">
        <v>379</v>
      </c>
      <c r="C15" s="2" t="s">
        <v>581</v>
      </c>
      <c r="D15" s="2" t="s">
        <v>224</v>
      </c>
      <c r="E15" s="2" t="s">
        <v>198</v>
      </c>
      <c r="F15" s="2" t="s">
        <v>17</v>
      </c>
      <c r="G15" s="2" t="s">
        <v>587</v>
      </c>
      <c r="H15" s="2" t="s">
        <v>15</v>
      </c>
      <c r="I15" s="2" t="s">
        <v>94</v>
      </c>
    </row>
    <row r="16" spans="1:10" ht="18" customHeight="1" x14ac:dyDescent="0.15">
      <c r="A16" s="3" t="s">
        <v>161</v>
      </c>
      <c r="B16" s="6">
        <v>381</v>
      </c>
      <c r="C16" s="3" t="s">
        <v>581</v>
      </c>
      <c r="D16" s="3" t="s">
        <v>593</v>
      </c>
      <c r="E16" s="3" t="s">
        <v>579</v>
      </c>
      <c r="F16" s="3" t="s">
        <v>17</v>
      </c>
      <c r="G16" s="3" t="s">
        <v>580</v>
      </c>
      <c r="H16" s="3" t="s">
        <v>15</v>
      </c>
      <c r="I16" s="3" t="s">
        <v>94</v>
      </c>
    </row>
    <row r="17" spans="1:10" ht="18" customHeight="1" x14ac:dyDescent="0.15">
      <c r="A17" s="2" t="s">
        <v>347</v>
      </c>
      <c r="B17" s="5">
        <v>375</v>
      </c>
      <c r="C17" s="2" t="s">
        <v>581</v>
      </c>
      <c r="D17" s="2" t="s">
        <v>594</v>
      </c>
      <c r="E17" s="2" t="s">
        <v>582</v>
      </c>
      <c r="F17" s="2" t="s">
        <v>17</v>
      </c>
      <c r="G17" s="2" t="s">
        <v>595</v>
      </c>
      <c r="H17" s="2" t="s">
        <v>15</v>
      </c>
      <c r="I17" s="2" t="s">
        <v>94</v>
      </c>
    </row>
    <row r="18" spans="1:10" ht="18" customHeight="1" x14ac:dyDescent="0.15">
      <c r="A18" s="3" t="s">
        <v>378</v>
      </c>
      <c r="B18" s="6">
        <v>360</v>
      </c>
      <c r="C18" s="3" t="s">
        <v>508</v>
      </c>
      <c r="D18" s="3" t="s">
        <v>596</v>
      </c>
      <c r="E18" s="3" t="s">
        <v>198</v>
      </c>
      <c r="F18" s="3" t="s">
        <v>17</v>
      </c>
      <c r="G18" s="3" t="s">
        <v>597</v>
      </c>
      <c r="H18" s="3" t="s">
        <v>15</v>
      </c>
      <c r="I18" s="3" t="s">
        <v>94</v>
      </c>
    </row>
    <row r="19" spans="1:10" ht="18" customHeight="1" x14ac:dyDescent="0.15">
      <c r="A19" s="2" t="s">
        <v>159</v>
      </c>
      <c r="B19" s="5">
        <v>384</v>
      </c>
      <c r="C19" s="2" t="s">
        <v>577</v>
      </c>
      <c r="D19" s="2" t="s">
        <v>220</v>
      </c>
      <c r="E19" s="2" t="s">
        <v>579</v>
      </c>
      <c r="F19" s="2" t="s">
        <v>17</v>
      </c>
      <c r="G19" s="2" t="s">
        <v>598</v>
      </c>
      <c r="H19" s="2" t="s">
        <v>15</v>
      </c>
      <c r="I19" s="2" t="s">
        <v>94</v>
      </c>
    </row>
    <row r="20" spans="1:10" ht="18" customHeight="1" x14ac:dyDescent="0.15">
      <c r="A20" s="3" t="s">
        <v>165</v>
      </c>
      <c r="B20" s="6">
        <v>377</v>
      </c>
      <c r="C20" s="3" t="s">
        <v>581</v>
      </c>
      <c r="D20" s="3" t="s">
        <v>599</v>
      </c>
      <c r="E20" s="3" t="s">
        <v>600</v>
      </c>
      <c r="F20" s="3" t="s">
        <v>17</v>
      </c>
      <c r="G20" s="3" t="s">
        <v>601</v>
      </c>
      <c r="H20" s="3" t="s">
        <v>15</v>
      </c>
      <c r="I20" s="3" t="s">
        <v>94</v>
      </c>
    </row>
    <row r="21" spans="1:10" ht="18" customHeight="1" x14ac:dyDescent="0.15">
      <c r="A21" s="2" t="s">
        <v>166</v>
      </c>
      <c r="B21" s="5">
        <v>376</v>
      </c>
      <c r="C21" s="2" t="s">
        <v>581</v>
      </c>
      <c r="D21" s="2" t="s">
        <v>308</v>
      </c>
      <c r="E21" s="2" t="s">
        <v>211</v>
      </c>
      <c r="F21" s="2" t="s">
        <v>17</v>
      </c>
      <c r="G21" s="2" t="s">
        <v>602</v>
      </c>
      <c r="H21" s="2" t="s">
        <v>15</v>
      </c>
      <c r="I21" s="2" t="s">
        <v>94</v>
      </c>
    </row>
    <row r="22" spans="1:10" ht="18" customHeight="1" x14ac:dyDescent="0.15">
      <c r="A22" s="3" t="s">
        <v>155</v>
      </c>
      <c r="B22" s="6">
        <v>393</v>
      </c>
      <c r="C22" s="3" t="s">
        <v>603</v>
      </c>
      <c r="D22" s="3" t="s">
        <v>195</v>
      </c>
      <c r="E22" s="3" t="s">
        <v>579</v>
      </c>
      <c r="F22" s="3" t="s">
        <v>17</v>
      </c>
      <c r="G22" s="3" t="s">
        <v>604</v>
      </c>
      <c r="H22" s="3" t="s">
        <v>15</v>
      </c>
      <c r="I22" s="3" t="s">
        <v>94</v>
      </c>
    </row>
    <row r="23" spans="1:10" ht="18" customHeight="1" x14ac:dyDescent="0.15">
      <c r="A23" s="2" t="s">
        <v>157</v>
      </c>
      <c r="B23" s="5">
        <v>385</v>
      </c>
      <c r="C23" s="2" t="s">
        <v>577</v>
      </c>
      <c r="D23" s="2" t="s">
        <v>574</v>
      </c>
      <c r="E23" s="2" t="s">
        <v>579</v>
      </c>
      <c r="F23" s="2" t="s">
        <v>17</v>
      </c>
      <c r="G23" s="2" t="s">
        <v>605</v>
      </c>
      <c r="H23" s="2" t="s">
        <v>15</v>
      </c>
      <c r="I23" s="2" t="s">
        <v>94</v>
      </c>
    </row>
    <row r="24" spans="1:10" ht="18" customHeight="1" x14ac:dyDescent="0.15">
      <c r="A24" s="3" t="s">
        <v>382</v>
      </c>
      <c r="B24" s="6">
        <v>326</v>
      </c>
      <c r="C24" s="3" t="s">
        <v>247</v>
      </c>
      <c r="D24" s="3" t="s">
        <v>578</v>
      </c>
      <c r="E24" s="3" t="s">
        <v>606</v>
      </c>
      <c r="F24" s="3" t="s">
        <v>17</v>
      </c>
      <c r="G24" s="3" t="s">
        <v>445</v>
      </c>
      <c r="H24" s="3" t="s">
        <v>15</v>
      </c>
      <c r="I24" s="3" t="s">
        <v>94</v>
      </c>
    </row>
    <row r="25" spans="1:10" ht="18" customHeight="1" x14ac:dyDescent="0.15">
      <c r="A25" s="2" t="s">
        <v>607</v>
      </c>
      <c r="B25" s="5">
        <v>346</v>
      </c>
      <c r="C25" s="2" t="s">
        <v>608</v>
      </c>
      <c r="D25" s="2" t="s">
        <v>574</v>
      </c>
      <c r="E25" s="2" t="s">
        <v>606</v>
      </c>
      <c r="F25" s="2" t="s">
        <v>17</v>
      </c>
      <c r="G25" s="2" t="s">
        <v>592</v>
      </c>
      <c r="H25" s="2" t="s">
        <v>15</v>
      </c>
      <c r="I25" s="2" t="s">
        <v>94</v>
      </c>
    </row>
    <row r="26" spans="1:10" ht="18" customHeight="1" x14ac:dyDescent="0.15">
      <c r="A26" s="3" t="s">
        <v>609</v>
      </c>
      <c r="B26" s="6">
        <v>348</v>
      </c>
      <c r="C26" s="3" t="s">
        <v>608</v>
      </c>
      <c r="D26" s="3" t="s">
        <v>610</v>
      </c>
      <c r="E26" s="3" t="s">
        <v>211</v>
      </c>
      <c r="F26" s="3" t="s">
        <v>17</v>
      </c>
      <c r="G26" s="3" t="s">
        <v>589</v>
      </c>
      <c r="H26" s="3" t="s">
        <v>15</v>
      </c>
      <c r="I26" s="3" t="s">
        <v>94</v>
      </c>
    </row>
    <row r="27" spans="1:10" ht="18" customHeight="1" x14ac:dyDescent="0.15">
      <c r="A27" s="2" t="s">
        <v>162</v>
      </c>
      <c r="B27" s="5">
        <v>380</v>
      </c>
      <c r="C27" s="2" t="s">
        <v>581</v>
      </c>
      <c r="D27" s="2" t="s">
        <v>290</v>
      </c>
      <c r="E27" s="2" t="s">
        <v>582</v>
      </c>
      <c r="F27" s="2" t="s">
        <v>17</v>
      </c>
      <c r="G27" s="2" t="s">
        <v>601</v>
      </c>
      <c r="H27" s="2" t="s">
        <v>15</v>
      </c>
      <c r="I27" s="2" t="s">
        <v>94</v>
      </c>
    </row>
    <row r="28" spans="1:10" ht="18" customHeight="1" x14ac:dyDescent="0.15">
      <c r="A28" s="3" t="s">
        <v>611</v>
      </c>
      <c r="B28" s="6">
        <v>354</v>
      </c>
      <c r="C28" s="3" t="s">
        <v>608</v>
      </c>
      <c r="D28" s="3" t="s">
        <v>308</v>
      </c>
      <c r="E28" s="3" t="s">
        <v>198</v>
      </c>
      <c r="F28" s="3" t="s">
        <v>17</v>
      </c>
      <c r="G28" s="3" t="s">
        <v>612</v>
      </c>
      <c r="H28" s="3" t="s">
        <v>15</v>
      </c>
      <c r="I28" s="3" t="s">
        <v>94</v>
      </c>
    </row>
    <row r="29" spans="1:10" ht="18" customHeight="1" x14ac:dyDescent="0.15">
      <c r="A29" s="2" t="s">
        <v>158</v>
      </c>
      <c r="B29" s="5">
        <v>385</v>
      </c>
      <c r="C29" s="2" t="s">
        <v>577</v>
      </c>
      <c r="D29" s="2" t="s">
        <v>613</v>
      </c>
      <c r="E29" s="2" t="s">
        <v>198</v>
      </c>
      <c r="F29" s="2" t="s">
        <v>17</v>
      </c>
      <c r="G29" s="2" t="s">
        <v>589</v>
      </c>
      <c r="H29" s="2" t="s">
        <v>15</v>
      </c>
      <c r="I29" s="2" t="s">
        <v>94</v>
      </c>
    </row>
    <row r="30" spans="1:10" ht="18" customHeight="1" x14ac:dyDescent="0.15">
      <c r="A30" s="3" t="s">
        <v>154</v>
      </c>
      <c r="B30" s="6">
        <v>395</v>
      </c>
      <c r="C30" s="3" t="s">
        <v>603</v>
      </c>
      <c r="D30" s="3" t="s">
        <v>195</v>
      </c>
      <c r="E30" s="3" t="s">
        <v>283</v>
      </c>
      <c r="F30" s="3" t="s">
        <v>17</v>
      </c>
      <c r="G30" s="3" t="s">
        <v>614</v>
      </c>
      <c r="H30" s="3" t="s">
        <v>15</v>
      </c>
      <c r="I30" s="3" t="s">
        <v>94</v>
      </c>
    </row>
    <row r="31" spans="1:10" ht="9.9499999999999993" customHeight="1" x14ac:dyDescent="0.15"/>
    <row r="32" spans="1:10" ht="26.1" customHeight="1" x14ac:dyDescent="0.15">
      <c r="A32" s="10" t="s">
        <v>615</v>
      </c>
      <c r="B32" s="8"/>
      <c r="C32" s="8"/>
      <c r="D32" s="8"/>
      <c r="E32" s="8"/>
      <c r="F32" s="8"/>
      <c r="G32" s="8"/>
      <c r="H32" s="8"/>
      <c r="I32" s="8"/>
      <c r="J32" s="8"/>
    </row>
    <row r="33" spans="1:10" ht="20.100000000000001" customHeight="1" x14ac:dyDescent="0.15">
      <c r="A33" s="1" t="s">
        <v>616</v>
      </c>
      <c r="B33" s="1" t="s">
        <v>71</v>
      </c>
      <c r="C33" s="1" t="s">
        <v>186</v>
      </c>
      <c r="D33" s="1" t="s">
        <v>617</v>
      </c>
      <c r="E33" s="1" t="s">
        <v>496</v>
      </c>
    </row>
    <row r="34" spans="1:10" ht="18" customHeight="1" x14ac:dyDescent="0.15">
      <c r="A34" s="2" t="s">
        <v>618</v>
      </c>
      <c r="B34" s="5">
        <v>7</v>
      </c>
      <c r="C34" s="2" t="s">
        <v>619</v>
      </c>
      <c r="D34" s="2" t="s">
        <v>620</v>
      </c>
      <c r="E34" s="2" t="s">
        <v>621</v>
      </c>
    </row>
    <row r="35" spans="1:10" ht="18" customHeight="1" x14ac:dyDescent="0.15">
      <c r="A35" s="3" t="s">
        <v>411</v>
      </c>
      <c r="B35" s="6">
        <v>10</v>
      </c>
      <c r="C35" s="3" t="s">
        <v>622</v>
      </c>
      <c r="D35" s="3" t="s">
        <v>623</v>
      </c>
      <c r="E35" s="3" t="s">
        <v>624</v>
      </c>
    </row>
    <row r="36" spans="1:10" ht="18" customHeight="1" x14ac:dyDescent="0.15">
      <c r="A36" s="2" t="s">
        <v>625</v>
      </c>
      <c r="B36" s="5">
        <v>6</v>
      </c>
      <c r="C36" s="2" t="s">
        <v>626</v>
      </c>
      <c r="D36" s="2" t="s">
        <v>627</v>
      </c>
      <c r="E36" s="2" t="s">
        <v>628</v>
      </c>
    </row>
    <row r="37" spans="1:10" ht="18" customHeight="1" x14ac:dyDescent="0.15">
      <c r="A37" s="3" t="s">
        <v>629</v>
      </c>
      <c r="B37" s="6">
        <v>1</v>
      </c>
      <c r="C37" s="3" t="s">
        <v>581</v>
      </c>
      <c r="D37" s="3" t="s">
        <v>630</v>
      </c>
      <c r="E37" s="3" t="s">
        <v>631</v>
      </c>
    </row>
    <row r="38" spans="1:10" ht="9.9499999999999993" customHeight="1" x14ac:dyDescent="0.15"/>
    <row r="39" spans="1:10" ht="26.1" customHeight="1" x14ac:dyDescent="0.15">
      <c r="A39" s="10" t="s">
        <v>632</v>
      </c>
      <c r="B39" s="8"/>
      <c r="C39" s="8"/>
      <c r="D39" s="8"/>
      <c r="E39" s="8"/>
      <c r="F39" s="8"/>
      <c r="G39" s="8"/>
      <c r="H39" s="8"/>
      <c r="I39" s="8"/>
      <c r="J39" s="8"/>
    </row>
    <row r="40" spans="1:10" ht="20.100000000000001" customHeight="1" x14ac:dyDescent="0.15">
      <c r="A40" s="1" t="s">
        <v>93</v>
      </c>
      <c r="B40" s="1" t="s">
        <v>633</v>
      </c>
      <c r="C40" s="1" t="s">
        <v>634</v>
      </c>
      <c r="D40" s="1" t="s">
        <v>635</v>
      </c>
      <c r="E40" s="1" t="s">
        <v>38</v>
      </c>
    </row>
    <row r="41" spans="1:10" ht="18" customHeight="1" x14ac:dyDescent="0.15">
      <c r="A41" s="2" t="s">
        <v>94</v>
      </c>
      <c r="B41" s="5">
        <v>24</v>
      </c>
      <c r="C41" s="2" t="s">
        <v>156</v>
      </c>
      <c r="D41" s="2" t="s">
        <v>211</v>
      </c>
      <c r="E41" s="2" t="s">
        <v>636</v>
      </c>
    </row>
    <row r="42" spans="1:10" ht="18" customHeight="1" x14ac:dyDescent="0.15">
      <c r="A42" s="3" t="s">
        <v>96</v>
      </c>
      <c r="B42" s="6">
        <v>24</v>
      </c>
      <c r="C42" s="3" t="s">
        <v>153</v>
      </c>
      <c r="D42" s="3" t="s">
        <v>211</v>
      </c>
      <c r="E42" s="3" t="s">
        <v>636</v>
      </c>
    </row>
    <row r="43" spans="1:10" ht="18" customHeight="1" x14ac:dyDescent="0.15">
      <c r="A43" s="2" t="s">
        <v>95</v>
      </c>
      <c r="B43" s="5">
        <v>24</v>
      </c>
      <c r="C43" s="2" t="s">
        <v>163</v>
      </c>
      <c r="D43" s="2" t="s">
        <v>211</v>
      </c>
      <c r="E43" s="2" t="s">
        <v>636</v>
      </c>
    </row>
    <row r="44" spans="1:10" ht="18" customHeight="1" x14ac:dyDescent="0.15">
      <c r="A44" s="3" t="s">
        <v>100</v>
      </c>
      <c r="B44" s="6">
        <v>24</v>
      </c>
      <c r="C44" s="3" t="s">
        <v>166</v>
      </c>
      <c r="D44" s="3" t="s">
        <v>211</v>
      </c>
      <c r="E44" s="3" t="s">
        <v>636</v>
      </c>
    </row>
    <row r="45" spans="1:10" ht="18" customHeight="1" x14ac:dyDescent="0.15">
      <c r="A45" s="2" t="s">
        <v>97</v>
      </c>
      <c r="B45" s="5">
        <v>24</v>
      </c>
      <c r="C45" s="2" t="s">
        <v>337</v>
      </c>
      <c r="D45" s="2" t="s">
        <v>211</v>
      </c>
      <c r="E45" s="2" t="s">
        <v>636</v>
      </c>
    </row>
    <row r="46" spans="1:10" ht="18" customHeight="1" x14ac:dyDescent="0.15">
      <c r="A46" s="3" t="s">
        <v>102</v>
      </c>
      <c r="B46" s="6">
        <v>24</v>
      </c>
      <c r="C46" s="3" t="s">
        <v>164</v>
      </c>
      <c r="D46" s="3" t="s">
        <v>211</v>
      </c>
      <c r="E46" s="3" t="s">
        <v>636</v>
      </c>
    </row>
    <row r="47" spans="1:10" ht="18" customHeight="1" x14ac:dyDescent="0.15">
      <c r="A47" s="2" t="s">
        <v>103</v>
      </c>
      <c r="B47" s="5">
        <v>24</v>
      </c>
      <c r="C47" s="2" t="s">
        <v>153</v>
      </c>
      <c r="D47" s="2" t="s">
        <v>211</v>
      </c>
      <c r="E47" s="2" t="s">
        <v>636</v>
      </c>
    </row>
    <row r="48" spans="1:10" ht="18" customHeight="1" x14ac:dyDescent="0.15">
      <c r="A48" s="3" t="s">
        <v>99</v>
      </c>
      <c r="B48" s="6">
        <v>24</v>
      </c>
      <c r="C48" s="3" t="s">
        <v>159</v>
      </c>
      <c r="D48" s="3" t="s">
        <v>211</v>
      </c>
      <c r="E48" s="3" t="s">
        <v>636</v>
      </c>
    </row>
    <row r="49" spans="1:10" ht="18" customHeight="1" x14ac:dyDescent="0.15">
      <c r="A49" s="2" t="s">
        <v>98</v>
      </c>
      <c r="B49" s="5">
        <v>24</v>
      </c>
      <c r="C49" s="2" t="s">
        <v>154</v>
      </c>
      <c r="D49" s="2" t="s">
        <v>211</v>
      </c>
      <c r="E49" s="2" t="s">
        <v>636</v>
      </c>
    </row>
    <row r="50" spans="1:10" ht="18" customHeight="1" x14ac:dyDescent="0.15">
      <c r="A50" s="3" t="s">
        <v>265</v>
      </c>
      <c r="B50" s="6">
        <v>24</v>
      </c>
      <c r="C50" s="3" t="s">
        <v>382</v>
      </c>
      <c r="D50" s="3" t="s">
        <v>211</v>
      </c>
      <c r="E50" s="3" t="s">
        <v>636</v>
      </c>
    </row>
    <row r="51" spans="1:10" ht="18" customHeight="1" x14ac:dyDescent="0.15">
      <c r="A51" s="2" t="s">
        <v>101</v>
      </c>
      <c r="B51" s="5">
        <v>24</v>
      </c>
      <c r="C51" s="2" t="s">
        <v>337</v>
      </c>
      <c r="D51" s="2" t="s">
        <v>211</v>
      </c>
      <c r="E51" s="2" t="s">
        <v>636</v>
      </c>
    </row>
    <row r="52" spans="1:10" ht="18" customHeight="1" x14ac:dyDescent="0.15">
      <c r="A52" s="3" t="s">
        <v>275</v>
      </c>
      <c r="B52" s="6">
        <v>24</v>
      </c>
      <c r="C52" s="3" t="s">
        <v>167</v>
      </c>
      <c r="D52" s="3" t="s">
        <v>211</v>
      </c>
      <c r="E52" s="3" t="s">
        <v>636</v>
      </c>
    </row>
    <row r="53" spans="1:10" ht="18" customHeight="1" x14ac:dyDescent="0.15">
      <c r="A53" s="2" t="s">
        <v>271</v>
      </c>
      <c r="B53" s="5">
        <v>24</v>
      </c>
      <c r="C53" s="2" t="s">
        <v>163</v>
      </c>
      <c r="D53" s="2" t="s">
        <v>211</v>
      </c>
      <c r="E53" s="2" t="s">
        <v>636</v>
      </c>
    </row>
    <row r="54" spans="1:10" ht="18" customHeight="1" x14ac:dyDescent="0.15">
      <c r="A54" s="3" t="s">
        <v>281</v>
      </c>
      <c r="B54" s="6">
        <v>24</v>
      </c>
      <c r="C54" s="3" t="s">
        <v>155</v>
      </c>
      <c r="D54" s="3" t="s">
        <v>211</v>
      </c>
      <c r="E54" s="3" t="s">
        <v>636</v>
      </c>
    </row>
    <row r="55" spans="1:10" ht="18" customHeight="1" x14ac:dyDescent="0.15">
      <c r="A55" s="2" t="s">
        <v>286</v>
      </c>
      <c r="B55" s="5">
        <v>23</v>
      </c>
      <c r="C55" s="2" t="s">
        <v>167</v>
      </c>
      <c r="D55" s="2" t="s">
        <v>637</v>
      </c>
      <c r="E55" s="2" t="s">
        <v>636</v>
      </c>
    </row>
    <row r="56" spans="1:10" ht="18" customHeight="1" x14ac:dyDescent="0.15">
      <c r="A56" s="3" t="s">
        <v>298</v>
      </c>
      <c r="B56" s="6">
        <v>13</v>
      </c>
      <c r="C56" s="3" t="s">
        <v>155</v>
      </c>
      <c r="D56" s="3" t="s">
        <v>638</v>
      </c>
      <c r="E56" s="3" t="s">
        <v>636</v>
      </c>
    </row>
    <row r="57" spans="1:10" ht="18" customHeight="1" x14ac:dyDescent="0.15">
      <c r="A57" s="2" t="s">
        <v>292</v>
      </c>
      <c r="B57" s="5">
        <v>16</v>
      </c>
      <c r="C57" s="2" t="s">
        <v>155</v>
      </c>
      <c r="D57" s="2" t="s">
        <v>639</v>
      </c>
      <c r="E57" s="2" t="s">
        <v>636</v>
      </c>
    </row>
    <row r="58" spans="1:10" ht="18" customHeight="1" x14ac:dyDescent="0.15">
      <c r="A58" s="3" t="s">
        <v>302</v>
      </c>
      <c r="B58" s="6">
        <v>7</v>
      </c>
      <c r="C58" s="3" t="s">
        <v>159</v>
      </c>
      <c r="D58" s="3" t="s">
        <v>619</v>
      </c>
      <c r="E58" s="3" t="s">
        <v>636</v>
      </c>
    </row>
    <row r="59" spans="1:10" ht="18" customHeight="1" x14ac:dyDescent="0.15">
      <c r="A59" s="2" t="s">
        <v>307</v>
      </c>
      <c r="B59" s="5">
        <v>5</v>
      </c>
      <c r="C59" s="2" t="s">
        <v>160</v>
      </c>
      <c r="D59" s="2" t="s">
        <v>640</v>
      </c>
      <c r="E59" s="2" t="s">
        <v>636</v>
      </c>
    </row>
    <row r="60" spans="1:10" ht="9.9499999999999993" customHeight="1" x14ac:dyDescent="0.15"/>
    <row r="61" spans="1:10" ht="26.1" customHeight="1" x14ac:dyDescent="0.15">
      <c r="A61" s="10" t="s">
        <v>33</v>
      </c>
      <c r="B61" s="8"/>
      <c r="C61" s="8"/>
      <c r="D61" s="8"/>
      <c r="E61" s="8"/>
      <c r="F61" s="8"/>
      <c r="G61" s="8"/>
      <c r="H61" s="8"/>
      <c r="I61" s="8"/>
      <c r="J61" s="8"/>
    </row>
    <row r="62" spans="1:10" ht="15.95" customHeight="1" x14ac:dyDescent="0.15">
      <c r="A62" s="14" t="s">
        <v>641</v>
      </c>
      <c r="B62" s="8"/>
      <c r="C62" s="8"/>
      <c r="D62" s="8"/>
      <c r="E62" s="8"/>
      <c r="F62" s="8"/>
      <c r="G62" s="8"/>
      <c r="H62" s="8"/>
      <c r="I62" s="8"/>
      <c r="J62" s="8"/>
    </row>
    <row r="89" spans="1:10" ht="15.95" customHeight="1" x14ac:dyDescent="0.15">
      <c r="A89" s="14" t="s">
        <v>642</v>
      </c>
      <c r="B89" s="8"/>
      <c r="C89" s="8"/>
      <c r="D89" s="8"/>
      <c r="E89" s="8"/>
      <c r="F89" s="8"/>
      <c r="G89" s="8"/>
      <c r="H89" s="8"/>
      <c r="I89" s="8"/>
      <c r="J89" s="8"/>
    </row>
    <row r="116" spans="1:20" s="20" customFormat="1" ht="15.75" x14ac:dyDescent="0.25">
      <c r="A116" s="19" t="s">
        <v>643</v>
      </c>
    </row>
    <row r="117" spans="1:20" s="20" customFormat="1" ht="15" x14ac:dyDescent="0.25">
      <c r="A117" s="20" t="s">
        <v>328</v>
      </c>
      <c r="B117" s="20" t="s">
        <v>102</v>
      </c>
      <c r="C117" s="20" t="s">
        <v>307</v>
      </c>
      <c r="D117" s="20" t="s">
        <v>275</v>
      </c>
      <c r="E117" s="20" t="s">
        <v>96</v>
      </c>
      <c r="F117" s="20" t="s">
        <v>101</v>
      </c>
      <c r="G117" s="20" t="s">
        <v>99</v>
      </c>
      <c r="H117" s="20" t="s">
        <v>281</v>
      </c>
      <c r="I117" s="20" t="s">
        <v>103</v>
      </c>
      <c r="J117" s="20" t="s">
        <v>292</v>
      </c>
      <c r="K117" s="20" t="s">
        <v>94</v>
      </c>
      <c r="L117" s="20" t="s">
        <v>302</v>
      </c>
      <c r="M117" s="20" t="s">
        <v>265</v>
      </c>
      <c r="N117" s="20" t="s">
        <v>286</v>
      </c>
      <c r="O117" s="20" t="s">
        <v>95</v>
      </c>
      <c r="P117" s="20" t="s">
        <v>97</v>
      </c>
      <c r="Q117" s="20" t="s">
        <v>98</v>
      </c>
      <c r="R117" s="20" t="s">
        <v>100</v>
      </c>
      <c r="S117" s="20" t="s">
        <v>271</v>
      </c>
      <c r="T117" s="20" t="s">
        <v>298</v>
      </c>
    </row>
    <row r="118" spans="1:20" s="20" customFormat="1" ht="15" x14ac:dyDescent="0.25">
      <c r="A118" s="20" t="s">
        <v>161</v>
      </c>
      <c r="B118" s="20">
        <v>12</v>
      </c>
      <c r="C118" s="20">
        <v>0</v>
      </c>
      <c r="D118" s="20">
        <v>3</v>
      </c>
      <c r="E118" s="20">
        <v>27</v>
      </c>
      <c r="F118" s="20">
        <v>14</v>
      </c>
      <c r="G118" s="20">
        <v>14</v>
      </c>
      <c r="H118" s="20">
        <v>1</v>
      </c>
      <c r="I118" s="20">
        <v>15</v>
      </c>
      <c r="J118" s="20">
        <v>1</v>
      </c>
      <c r="K118" s="20">
        <v>179</v>
      </c>
      <c r="L118" s="20">
        <v>1</v>
      </c>
      <c r="M118" s="20">
        <v>5</v>
      </c>
      <c r="N118" s="20">
        <v>0</v>
      </c>
      <c r="O118" s="20">
        <v>41</v>
      </c>
      <c r="P118" s="20">
        <v>21</v>
      </c>
      <c r="Q118" s="20">
        <v>26</v>
      </c>
      <c r="R118" s="20">
        <v>17</v>
      </c>
      <c r="S118" s="20">
        <v>2</v>
      </c>
      <c r="T118" s="20">
        <v>2</v>
      </c>
    </row>
    <row r="119" spans="1:20" s="20" customFormat="1" ht="15" x14ac:dyDescent="0.25">
      <c r="A119" s="20" t="s">
        <v>159</v>
      </c>
      <c r="B119" s="20">
        <v>13</v>
      </c>
      <c r="C119" s="20">
        <v>0</v>
      </c>
      <c r="D119" s="20">
        <v>3</v>
      </c>
      <c r="E119" s="20">
        <v>33</v>
      </c>
      <c r="F119" s="20">
        <v>16</v>
      </c>
      <c r="G119" s="20">
        <v>26</v>
      </c>
      <c r="H119" s="20">
        <v>2</v>
      </c>
      <c r="I119" s="20">
        <v>8</v>
      </c>
      <c r="J119" s="20">
        <v>3</v>
      </c>
      <c r="K119" s="20">
        <v>165</v>
      </c>
      <c r="L119" s="20">
        <v>1</v>
      </c>
      <c r="M119" s="20">
        <v>6</v>
      </c>
      <c r="N119" s="20">
        <v>3</v>
      </c>
      <c r="O119" s="20">
        <v>28</v>
      </c>
      <c r="P119" s="20">
        <v>31</v>
      </c>
      <c r="Q119" s="20">
        <v>26</v>
      </c>
      <c r="R119" s="20">
        <v>15</v>
      </c>
      <c r="S119" s="20">
        <v>5</v>
      </c>
      <c r="T119" s="20">
        <v>0</v>
      </c>
    </row>
    <row r="120" spans="1:20" s="20" customFormat="1" ht="15" x14ac:dyDescent="0.25">
      <c r="A120" s="20" t="s">
        <v>160</v>
      </c>
      <c r="B120" s="20">
        <v>13</v>
      </c>
      <c r="C120" s="20">
        <v>1</v>
      </c>
      <c r="D120" s="20">
        <v>2</v>
      </c>
      <c r="E120" s="20">
        <v>39</v>
      </c>
      <c r="F120" s="20">
        <v>8</v>
      </c>
      <c r="G120" s="20">
        <v>19</v>
      </c>
      <c r="H120" s="20">
        <v>3</v>
      </c>
      <c r="I120" s="20">
        <v>13</v>
      </c>
      <c r="J120" s="20">
        <v>1</v>
      </c>
      <c r="K120" s="20">
        <v>164</v>
      </c>
      <c r="L120" s="20">
        <v>1</v>
      </c>
      <c r="M120" s="20">
        <v>9</v>
      </c>
      <c r="N120" s="20">
        <v>2</v>
      </c>
      <c r="O120" s="20">
        <v>37</v>
      </c>
      <c r="P120" s="20">
        <v>29</v>
      </c>
      <c r="Q120" s="20">
        <v>22</v>
      </c>
      <c r="R120" s="20">
        <v>13</v>
      </c>
      <c r="S120" s="20">
        <v>5</v>
      </c>
      <c r="T120" s="20">
        <v>0</v>
      </c>
    </row>
    <row r="121" spans="1:20" s="20" customFormat="1" ht="15" x14ac:dyDescent="0.25">
      <c r="A121" s="20" t="s">
        <v>158</v>
      </c>
      <c r="B121" s="20">
        <v>13</v>
      </c>
      <c r="C121" s="20">
        <v>0</v>
      </c>
      <c r="D121" s="20">
        <v>3</v>
      </c>
      <c r="E121" s="20">
        <v>31</v>
      </c>
      <c r="F121" s="20">
        <v>17</v>
      </c>
      <c r="G121" s="20">
        <v>16</v>
      </c>
      <c r="H121" s="20">
        <v>1</v>
      </c>
      <c r="I121" s="20">
        <v>10</v>
      </c>
      <c r="J121" s="20">
        <v>0</v>
      </c>
      <c r="K121" s="20">
        <v>171</v>
      </c>
      <c r="L121" s="20">
        <v>0</v>
      </c>
      <c r="M121" s="20">
        <v>5</v>
      </c>
      <c r="N121" s="20">
        <v>3</v>
      </c>
      <c r="O121" s="20">
        <v>38</v>
      </c>
      <c r="P121" s="20">
        <v>32</v>
      </c>
      <c r="Q121" s="20">
        <v>26</v>
      </c>
      <c r="R121" s="20">
        <v>16</v>
      </c>
      <c r="S121" s="20">
        <v>3</v>
      </c>
      <c r="T121" s="20">
        <v>0</v>
      </c>
    </row>
    <row r="122" spans="1:20" s="20" customFormat="1" ht="15" x14ac:dyDescent="0.25">
      <c r="A122" s="20" t="s">
        <v>153</v>
      </c>
      <c r="B122" s="20">
        <v>14</v>
      </c>
      <c r="C122" s="20">
        <v>0</v>
      </c>
      <c r="D122" s="20">
        <v>4</v>
      </c>
      <c r="E122" s="20">
        <v>44</v>
      </c>
      <c r="F122" s="20">
        <v>13</v>
      </c>
      <c r="G122" s="20">
        <v>16</v>
      </c>
      <c r="H122" s="20">
        <v>2</v>
      </c>
      <c r="I122" s="20">
        <v>17</v>
      </c>
      <c r="J122" s="20">
        <v>0</v>
      </c>
      <c r="K122" s="20">
        <v>176</v>
      </c>
      <c r="L122" s="20">
        <v>0</v>
      </c>
      <c r="M122" s="20">
        <v>6</v>
      </c>
      <c r="N122" s="20">
        <v>2</v>
      </c>
      <c r="O122" s="20">
        <v>41</v>
      </c>
      <c r="P122" s="20">
        <v>33</v>
      </c>
      <c r="Q122" s="20">
        <v>26</v>
      </c>
      <c r="R122" s="20">
        <v>15</v>
      </c>
      <c r="S122" s="20">
        <v>4</v>
      </c>
      <c r="T122" s="20">
        <v>1</v>
      </c>
    </row>
    <row r="123" spans="1:20" s="20" customFormat="1" ht="15" x14ac:dyDescent="0.25">
      <c r="A123" s="20" t="s">
        <v>155</v>
      </c>
      <c r="B123" s="20">
        <v>10</v>
      </c>
      <c r="C123" s="20">
        <v>0</v>
      </c>
      <c r="D123" s="20">
        <v>3</v>
      </c>
      <c r="E123" s="20">
        <v>40</v>
      </c>
      <c r="F123" s="20">
        <v>19</v>
      </c>
      <c r="G123" s="20">
        <v>10</v>
      </c>
      <c r="H123" s="20">
        <v>5</v>
      </c>
      <c r="I123" s="20">
        <v>8</v>
      </c>
      <c r="J123" s="20">
        <v>5</v>
      </c>
      <c r="K123" s="20">
        <v>173</v>
      </c>
      <c r="L123" s="20">
        <v>0</v>
      </c>
      <c r="M123" s="20">
        <v>10</v>
      </c>
      <c r="N123" s="20">
        <v>2</v>
      </c>
      <c r="O123" s="20">
        <v>27</v>
      </c>
      <c r="P123" s="20">
        <v>39</v>
      </c>
      <c r="Q123" s="20">
        <v>25</v>
      </c>
      <c r="R123" s="20">
        <v>10</v>
      </c>
      <c r="S123" s="20">
        <v>3</v>
      </c>
      <c r="T123" s="20">
        <v>4</v>
      </c>
    </row>
    <row r="124" spans="1:20" s="20" customFormat="1" ht="15" x14ac:dyDescent="0.25">
      <c r="A124" s="20" t="s">
        <v>164</v>
      </c>
      <c r="B124" s="20">
        <v>21</v>
      </c>
      <c r="C124" s="20">
        <v>0</v>
      </c>
      <c r="D124" s="20">
        <v>3</v>
      </c>
      <c r="E124" s="20">
        <v>30</v>
      </c>
      <c r="F124" s="20">
        <v>16</v>
      </c>
      <c r="G124" s="20">
        <v>15</v>
      </c>
      <c r="H124" s="20">
        <v>1</v>
      </c>
      <c r="I124" s="20">
        <v>7</v>
      </c>
      <c r="J124" s="20">
        <v>3</v>
      </c>
      <c r="K124" s="20">
        <v>161</v>
      </c>
      <c r="L124" s="20">
        <v>0</v>
      </c>
      <c r="M124" s="20">
        <v>11</v>
      </c>
      <c r="N124" s="20">
        <v>1</v>
      </c>
      <c r="O124" s="20">
        <v>35</v>
      </c>
      <c r="P124" s="20">
        <v>36</v>
      </c>
      <c r="Q124" s="20">
        <v>25</v>
      </c>
      <c r="R124" s="20">
        <v>10</v>
      </c>
      <c r="S124" s="20">
        <v>2</v>
      </c>
      <c r="T124" s="20">
        <v>2</v>
      </c>
    </row>
    <row r="125" spans="1:20" s="20" customFormat="1" ht="15" x14ac:dyDescent="0.25">
      <c r="A125" s="20" t="s">
        <v>347</v>
      </c>
      <c r="B125" s="20">
        <v>12</v>
      </c>
      <c r="C125" s="20">
        <v>0</v>
      </c>
      <c r="D125" s="20">
        <v>1</v>
      </c>
      <c r="E125" s="20">
        <v>35</v>
      </c>
      <c r="F125" s="20">
        <v>10</v>
      </c>
      <c r="G125" s="20">
        <v>15</v>
      </c>
      <c r="H125" s="20">
        <v>4</v>
      </c>
      <c r="I125" s="20">
        <v>6</v>
      </c>
      <c r="J125" s="20">
        <v>0</v>
      </c>
      <c r="K125" s="20">
        <v>174</v>
      </c>
      <c r="L125" s="20">
        <v>0</v>
      </c>
      <c r="M125" s="20">
        <v>11</v>
      </c>
      <c r="N125" s="20">
        <v>1</v>
      </c>
      <c r="O125" s="20">
        <v>33</v>
      </c>
      <c r="P125" s="20">
        <v>34</v>
      </c>
      <c r="Q125" s="20">
        <v>21</v>
      </c>
      <c r="R125" s="20">
        <v>14</v>
      </c>
      <c r="S125" s="20">
        <v>3</v>
      </c>
      <c r="T125" s="20">
        <v>1</v>
      </c>
    </row>
    <row r="126" spans="1:20" s="20" customFormat="1" ht="15" x14ac:dyDescent="0.25">
      <c r="A126" s="20" t="s">
        <v>157</v>
      </c>
      <c r="B126" s="20">
        <v>11</v>
      </c>
      <c r="C126" s="20">
        <v>1</v>
      </c>
      <c r="D126" s="20">
        <v>5</v>
      </c>
      <c r="E126" s="20">
        <v>27</v>
      </c>
      <c r="F126" s="20">
        <v>10</v>
      </c>
      <c r="G126" s="20">
        <v>21</v>
      </c>
      <c r="H126" s="20">
        <v>2</v>
      </c>
      <c r="I126" s="20">
        <v>15</v>
      </c>
      <c r="J126" s="20">
        <v>1</v>
      </c>
      <c r="K126" s="20">
        <v>179</v>
      </c>
      <c r="L126" s="20">
        <v>0</v>
      </c>
      <c r="M126" s="20">
        <v>8</v>
      </c>
      <c r="N126" s="20">
        <v>1</v>
      </c>
      <c r="O126" s="20">
        <v>34</v>
      </c>
      <c r="P126" s="20">
        <v>26</v>
      </c>
      <c r="Q126" s="20">
        <v>28</v>
      </c>
      <c r="R126" s="20">
        <v>13</v>
      </c>
      <c r="S126" s="20">
        <v>3</v>
      </c>
      <c r="T126" s="20">
        <v>0</v>
      </c>
    </row>
    <row r="127" spans="1:20" s="20" customFormat="1" ht="15" x14ac:dyDescent="0.25">
      <c r="A127" s="20" t="s">
        <v>162</v>
      </c>
      <c r="B127" s="20">
        <v>11</v>
      </c>
      <c r="C127" s="20">
        <v>0</v>
      </c>
      <c r="D127" s="20">
        <v>3</v>
      </c>
      <c r="E127" s="20">
        <v>26</v>
      </c>
      <c r="F127" s="20">
        <v>10</v>
      </c>
      <c r="G127" s="20">
        <v>14</v>
      </c>
      <c r="H127" s="20">
        <v>5</v>
      </c>
      <c r="I127" s="20">
        <v>10</v>
      </c>
      <c r="J127" s="20">
        <v>0</v>
      </c>
      <c r="K127" s="20">
        <v>163</v>
      </c>
      <c r="L127" s="20">
        <v>0</v>
      </c>
      <c r="M127" s="20">
        <v>10</v>
      </c>
      <c r="N127" s="20">
        <v>4</v>
      </c>
      <c r="O127" s="20">
        <v>40</v>
      </c>
      <c r="P127" s="20">
        <v>35</v>
      </c>
      <c r="Q127" s="20">
        <v>34</v>
      </c>
      <c r="R127" s="20">
        <v>12</v>
      </c>
      <c r="S127" s="20">
        <v>3</v>
      </c>
      <c r="T127" s="20">
        <v>0</v>
      </c>
    </row>
    <row r="128" spans="1:20" s="20" customFormat="1" ht="15" x14ac:dyDescent="0.25">
      <c r="A128" s="20" t="s">
        <v>166</v>
      </c>
      <c r="B128" s="20">
        <v>9</v>
      </c>
      <c r="C128" s="20">
        <v>0</v>
      </c>
      <c r="D128" s="20">
        <v>5</v>
      </c>
      <c r="E128" s="20">
        <v>36</v>
      </c>
      <c r="F128" s="20">
        <v>7</v>
      </c>
      <c r="G128" s="20">
        <v>12</v>
      </c>
      <c r="H128" s="20">
        <v>3</v>
      </c>
      <c r="I128" s="20">
        <v>7</v>
      </c>
      <c r="J128" s="20">
        <v>0</v>
      </c>
      <c r="K128" s="20">
        <v>171</v>
      </c>
      <c r="L128" s="20">
        <v>0</v>
      </c>
      <c r="M128" s="20">
        <v>8</v>
      </c>
      <c r="N128" s="20">
        <v>1</v>
      </c>
      <c r="O128" s="20">
        <v>33</v>
      </c>
      <c r="P128" s="20">
        <v>32</v>
      </c>
      <c r="Q128" s="20">
        <v>30</v>
      </c>
      <c r="R128" s="20">
        <v>20</v>
      </c>
      <c r="S128" s="20">
        <v>2</v>
      </c>
      <c r="T128" s="20">
        <v>0</v>
      </c>
    </row>
    <row r="129" spans="1:20" s="20" customFormat="1" ht="15" x14ac:dyDescent="0.25">
      <c r="A129" s="20" t="s">
        <v>154</v>
      </c>
      <c r="B129" s="20">
        <v>10</v>
      </c>
      <c r="C129" s="20">
        <v>0</v>
      </c>
      <c r="D129" s="20">
        <v>2</v>
      </c>
      <c r="E129" s="20">
        <v>35</v>
      </c>
      <c r="F129" s="20">
        <v>13</v>
      </c>
      <c r="G129" s="20">
        <v>20</v>
      </c>
      <c r="H129" s="20">
        <v>1</v>
      </c>
      <c r="I129" s="20">
        <v>7</v>
      </c>
      <c r="J129" s="20">
        <v>3</v>
      </c>
      <c r="K129" s="20">
        <v>163</v>
      </c>
      <c r="L129" s="20">
        <v>0</v>
      </c>
      <c r="M129" s="20">
        <v>7</v>
      </c>
      <c r="N129" s="20">
        <v>4</v>
      </c>
      <c r="O129" s="20">
        <v>41</v>
      </c>
      <c r="P129" s="20">
        <v>30</v>
      </c>
      <c r="Q129" s="20">
        <v>37</v>
      </c>
      <c r="R129" s="20">
        <v>12</v>
      </c>
      <c r="S129" s="20">
        <v>8</v>
      </c>
      <c r="T129" s="20">
        <v>2</v>
      </c>
    </row>
    <row r="130" spans="1:20" s="20" customFormat="1" ht="15" x14ac:dyDescent="0.25">
      <c r="A130" s="20" t="s">
        <v>163</v>
      </c>
      <c r="B130" s="20">
        <v>10</v>
      </c>
      <c r="C130" s="20">
        <v>1</v>
      </c>
      <c r="D130" s="20">
        <v>4</v>
      </c>
      <c r="E130" s="20">
        <v>29</v>
      </c>
      <c r="F130" s="20">
        <v>18</v>
      </c>
      <c r="G130" s="20">
        <v>20</v>
      </c>
      <c r="H130" s="20">
        <v>3</v>
      </c>
      <c r="I130" s="20">
        <v>11</v>
      </c>
      <c r="J130" s="20">
        <v>1</v>
      </c>
      <c r="K130" s="20">
        <v>149</v>
      </c>
      <c r="L130" s="20">
        <v>1</v>
      </c>
      <c r="M130" s="20">
        <v>8</v>
      </c>
      <c r="N130" s="20">
        <v>1</v>
      </c>
      <c r="O130" s="20">
        <v>44</v>
      </c>
      <c r="P130" s="20">
        <v>29</v>
      </c>
      <c r="Q130" s="20">
        <v>28</v>
      </c>
      <c r="R130" s="20">
        <v>14</v>
      </c>
      <c r="S130" s="20">
        <v>8</v>
      </c>
      <c r="T130" s="20">
        <v>0</v>
      </c>
    </row>
    <row r="131" spans="1:20" s="20" customFormat="1" ht="15" x14ac:dyDescent="0.25">
      <c r="A131" s="20" t="s">
        <v>156</v>
      </c>
      <c r="B131" s="20">
        <v>6</v>
      </c>
      <c r="C131" s="20">
        <v>0</v>
      </c>
      <c r="D131" s="20">
        <v>3</v>
      </c>
      <c r="E131" s="20">
        <v>29</v>
      </c>
      <c r="F131" s="20">
        <v>12</v>
      </c>
      <c r="G131" s="20">
        <v>22</v>
      </c>
      <c r="H131" s="20">
        <v>2</v>
      </c>
      <c r="I131" s="20">
        <v>6</v>
      </c>
      <c r="J131" s="20">
        <v>3</v>
      </c>
      <c r="K131" s="20">
        <v>197</v>
      </c>
      <c r="L131" s="20">
        <v>0</v>
      </c>
      <c r="M131" s="20">
        <v>6</v>
      </c>
      <c r="N131" s="20">
        <v>2</v>
      </c>
      <c r="O131" s="20">
        <v>35</v>
      </c>
      <c r="P131" s="20">
        <v>20</v>
      </c>
      <c r="Q131" s="20">
        <v>29</v>
      </c>
      <c r="R131" s="20">
        <v>13</v>
      </c>
      <c r="S131" s="20">
        <v>3</v>
      </c>
      <c r="T131" s="20">
        <v>1</v>
      </c>
    </row>
    <row r="132" spans="1:20" s="20" customFormat="1" ht="15" x14ac:dyDescent="0.25">
      <c r="A132" s="20" t="s">
        <v>165</v>
      </c>
      <c r="B132" s="20">
        <v>11</v>
      </c>
      <c r="C132" s="20">
        <v>0</v>
      </c>
      <c r="D132" s="20">
        <v>3</v>
      </c>
      <c r="E132" s="20">
        <v>35</v>
      </c>
      <c r="F132" s="20">
        <v>15</v>
      </c>
      <c r="G132" s="20">
        <v>22</v>
      </c>
      <c r="H132" s="20">
        <v>1</v>
      </c>
      <c r="I132" s="20">
        <v>8</v>
      </c>
      <c r="J132" s="20">
        <v>0</v>
      </c>
      <c r="K132" s="20">
        <v>173</v>
      </c>
      <c r="L132" s="20">
        <v>0</v>
      </c>
      <c r="M132" s="20">
        <v>6</v>
      </c>
      <c r="N132" s="20">
        <v>5</v>
      </c>
      <c r="O132" s="20">
        <v>27</v>
      </c>
      <c r="P132" s="20">
        <v>27</v>
      </c>
      <c r="Q132" s="20">
        <v>23</v>
      </c>
      <c r="R132" s="20">
        <v>17</v>
      </c>
      <c r="S132" s="20">
        <v>2</v>
      </c>
      <c r="T132" s="20">
        <v>2</v>
      </c>
    </row>
    <row r="134" spans="1:20" ht="9.9499999999999993" customHeight="1" x14ac:dyDescent="0.15"/>
    <row r="135" spans="1:20" ht="26.1" customHeight="1" x14ac:dyDescent="0.15">
      <c r="A135" s="11" t="s">
        <v>53</v>
      </c>
      <c r="B135" s="8"/>
      <c r="C135" s="8"/>
      <c r="D135" s="8"/>
      <c r="E135" s="8"/>
      <c r="F135" s="8"/>
      <c r="G135" s="8"/>
      <c r="H135" s="8"/>
      <c r="I135" s="8"/>
      <c r="J135" s="8"/>
    </row>
    <row r="136" spans="1:20" ht="30" customHeight="1" x14ac:dyDescent="0.15">
      <c r="A136" s="12" t="s">
        <v>644</v>
      </c>
      <c r="B136" s="8"/>
      <c r="C136" s="8"/>
      <c r="D136" s="8"/>
      <c r="E136" s="8"/>
      <c r="F136" s="8"/>
      <c r="G136" s="8"/>
      <c r="H136" s="8"/>
      <c r="I136" s="8"/>
      <c r="J136" s="8"/>
    </row>
    <row r="137" spans="1:20" ht="6" customHeight="1" x14ac:dyDescent="0.15"/>
    <row r="138" spans="1:20" ht="30" customHeight="1" x14ac:dyDescent="0.15">
      <c r="A138" s="12" t="s">
        <v>645</v>
      </c>
      <c r="B138" s="8"/>
      <c r="C138" s="8"/>
      <c r="D138" s="8"/>
      <c r="E138" s="8"/>
      <c r="F138" s="8"/>
      <c r="G138" s="8"/>
      <c r="H138" s="8"/>
      <c r="I138" s="8"/>
      <c r="J138" s="8"/>
    </row>
    <row r="139" spans="1:20" ht="6" customHeight="1" x14ac:dyDescent="0.15"/>
    <row r="140" spans="1:20" ht="30" customHeight="1" x14ac:dyDescent="0.15">
      <c r="A140" s="12" t="s">
        <v>316</v>
      </c>
      <c r="B140" s="8"/>
      <c r="C140" s="8"/>
      <c r="D140" s="8"/>
      <c r="E140" s="8"/>
      <c r="F140" s="8"/>
      <c r="G140" s="8"/>
      <c r="H140" s="8"/>
      <c r="I140" s="8"/>
      <c r="J140" s="8"/>
    </row>
    <row r="141" spans="1:20" ht="30" customHeight="1" x14ac:dyDescent="0.15">
      <c r="A141" s="7" t="s">
        <v>646</v>
      </c>
      <c r="B141" s="8"/>
      <c r="C141" s="8"/>
      <c r="D141" s="8"/>
      <c r="E141" s="8"/>
      <c r="F141" s="8"/>
      <c r="G141" s="8"/>
      <c r="H141" s="8"/>
      <c r="I141" s="8"/>
      <c r="J141" s="8"/>
    </row>
    <row r="142" spans="1:20" ht="30" customHeight="1" x14ac:dyDescent="0.15">
      <c r="A142" s="7" t="s">
        <v>647</v>
      </c>
      <c r="B142" s="8"/>
      <c r="C142" s="8"/>
      <c r="D142" s="8"/>
      <c r="E142" s="8"/>
      <c r="F142" s="8"/>
      <c r="G142" s="8"/>
      <c r="H142" s="8"/>
      <c r="I142" s="8"/>
      <c r="J142" s="8"/>
    </row>
    <row r="143" spans="1:20" ht="30" customHeight="1" x14ac:dyDescent="0.15">
      <c r="A143" s="7" t="s">
        <v>648</v>
      </c>
      <c r="B143" s="8"/>
      <c r="C143" s="8"/>
      <c r="D143" s="8"/>
      <c r="E143" s="8"/>
      <c r="F143" s="8"/>
      <c r="G143" s="8"/>
      <c r="H143" s="8"/>
      <c r="I143" s="8"/>
      <c r="J143" s="8"/>
    </row>
    <row r="144" spans="1:20" ht="6" customHeight="1" x14ac:dyDescent="0.15"/>
    <row r="145" spans="1:10" ht="30" customHeight="1" x14ac:dyDescent="0.15">
      <c r="A145" s="12" t="s">
        <v>649</v>
      </c>
      <c r="B145" s="8"/>
      <c r="C145" s="8"/>
      <c r="D145" s="8"/>
      <c r="E145" s="8"/>
      <c r="F145" s="8"/>
      <c r="G145" s="8"/>
      <c r="H145" s="8"/>
      <c r="I145" s="8"/>
      <c r="J145" s="8"/>
    </row>
    <row r="146" spans="1:10" ht="9.9499999999999993" customHeight="1" x14ac:dyDescent="0.15"/>
    <row r="147" spans="1:10" ht="9.9499999999999993" customHeight="1" x14ac:dyDescent="0.15"/>
    <row r="148" spans="1:10" x14ac:dyDescent="0.15">
      <c r="A148" s="13" t="s">
        <v>62</v>
      </c>
      <c r="B148" s="8"/>
      <c r="C148" s="8"/>
      <c r="D148" s="8"/>
      <c r="E148" s="8"/>
      <c r="F148" s="8"/>
      <c r="G148" s="8"/>
      <c r="H148" s="8"/>
      <c r="I148" s="8"/>
      <c r="J148" s="8"/>
    </row>
  </sheetData>
  <mergeCells count="18">
    <mergeCell ref="A148:J148"/>
    <mergeCell ref="A4:J4"/>
    <mergeCell ref="A2:J2"/>
    <mergeCell ref="A142:J142"/>
    <mergeCell ref="A138:J138"/>
    <mergeCell ref="A141:J141"/>
    <mergeCell ref="A135:J135"/>
    <mergeCell ref="A145:J145"/>
    <mergeCell ref="A143:J143"/>
    <mergeCell ref="A62:J62"/>
    <mergeCell ref="A136:J136"/>
    <mergeCell ref="A140:J140"/>
    <mergeCell ref="A1:J1"/>
    <mergeCell ref="A5:J5"/>
    <mergeCell ref="A32:J32"/>
    <mergeCell ref="A89:J89"/>
    <mergeCell ref="A61:J61"/>
    <mergeCell ref="A39:J39"/>
  </mergeCells>
  <phoneticPr fontId="13" type="noConversion"/>
  <conditionalFormatting sqref="B118:T132">
    <cfRule type="colorScale" priority="1">
      <colorScale>
        <cfvo type="min"/>
        <cfvo type="percentile" val="50"/>
        <cfvo type="max"/>
        <color rgb="FFF7FCF5"/>
        <color rgb="FFFEB24C"/>
        <color rgb="FFE31A1C"/>
      </colorScale>
    </cfRule>
  </conditionalFormatting>
  <pageMargins left="0.75" right="0.75" top="1" bottom="1" header="0.5" footer="0.5"/>
  <pageSetup fitToHeight="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C4899"/>
    <pageSetUpPr fitToPage="1"/>
  </sheetPr>
  <dimension ref="A1:J137"/>
  <sheetViews>
    <sheetView topLeftCell="A121" workbookViewId="0">
      <selection activeCell="F106" sqref="F106"/>
    </sheetView>
  </sheetViews>
  <sheetFormatPr defaultRowHeight="13.5" x14ac:dyDescent="0.15"/>
  <cols>
    <col min="1" max="1" width="17" customWidth="1"/>
    <col min="2" max="2" width="15" customWidth="1"/>
    <col min="3" max="4" width="10" customWidth="1"/>
    <col min="5" max="5" width="15" customWidth="1"/>
    <col min="6" max="6" width="41" customWidth="1"/>
    <col min="7" max="7" width="15" customWidth="1"/>
    <col min="8" max="8" width="13" customWidth="1"/>
    <col min="9" max="9" width="11" customWidth="1"/>
    <col min="10" max="10" width="14" customWidth="1"/>
  </cols>
  <sheetData>
    <row r="1" spans="1:10" ht="36" customHeight="1" x14ac:dyDescent="0.15">
      <c r="A1" s="9" t="s">
        <v>31</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184</v>
      </c>
      <c r="B4" s="8"/>
      <c r="C4" s="8"/>
      <c r="D4" s="8"/>
      <c r="E4" s="8"/>
      <c r="F4" s="8"/>
      <c r="G4" s="8"/>
      <c r="H4" s="8"/>
      <c r="I4" s="8"/>
      <c r="J4" s="8"/>
    </row>
    <row r="5" spans="1:10" ht="26.1" customHeight="1" x14ac:dyDescent="0.15">
      <c r="A5" s="10" t="s">
        <v>650</v>
      </c>
      <c r="B5" s="8"/>
      <c r="C5" s="8"/>
      <c r="D5" s="8"/>
      <c r="E5" s="8"/>
      <c r="F5" s="8"/>
      <c r="G5" s="8"/>
      <c r="H5" s="8"/>
      <c r="I5" s="8"/>
      <c r="J5" s="8"/>
    </row>
    <row r="6" spans="1:10" ht="20.100000000000001" customHeight="1" x14ac:dyDescent="0.15">
      <c r="A6" s="1" t="s">
        <v>651</v>
      </c>
      <c r="B6" s="1" t="s">
        <v>168</v>
      </c>
      <c r="C6" s="1" t="s">
        <v>169</v>
      </c>
      <c r="D6" s="1" t="s">
        <v>170</v>
      </c>
      <c r="E6" s="1" t="s">
        <v>171</v>
      </c>
      <c r="F6" s="1" t="s">
        <v>442</v>
      </c>
      <c r="G6" s="1" t="s">
        <v>188</v>
      </c>
      <c r="H6" s="1" t="s">
        <v>652</v>
      </c>
      <c r="I6" s="1" t="s">
        <v>653</v>
      </c>
      <c r="J6" s="1" t="s">
        <v>654</v>
      </c>
    </row>
    <row r="7" spans="1:10" ht="18" customHeight="1" x14ac:dyDescent="0.15">
      <c r="A7" s="2" t="s">
        <v>73</v>
      </c>
      <c r="B7" s="5">
        <v>195</v>
      </c>
      <c r="C7" s="5">
        <v>0</v>
      </c>
      <c r="D7" s="5">
        <v>0</v>
      </c>
      <c r="E7" s="5">
        <v>0</v>
      </c>
      <c r="F7" s="2" t="s">
        <v>655</v>
      </c>
      <c r="G7" s="2" t="s">
        <v>656</v>
      </c>
      <c r="H7" s="2" t="s">
        <v>657</v>
      </c>
      <c r="I7" s="2" t="s">
        <v>658</v>
      </c>
      <c r="J7" s="2"/>
    </row>
    <row r="8" spans="1:10" ht="18" customHeight="1" x14ac:dyDescent="0.15">
      <c r="A8" s="3" t="s">
        <v>74</v>
      </c>
      <c r="B8" s="6">
        <v>725</v>
      </c>
      <c r="C8" s="6">
        <v>0</v>
      </c>
      <c r="D8" s="6">
        <v>0</v>
      </c>
      <c r="E8" s="6">
        <v>0</v>
      </c>
      <c r="F8" s="3" t="s">
        <v>659</v>
      </c>
      <c r="G8" s="3" t="s">
        <v>660</v>
      </c>
      <c r="H8" s="3" t="s">
        <v>661</v>
      </c>
      <c r="I8" s="3" t="s">
        <v>662</v>
      </c>
      <c r="J8" s="3" t="s">
        <v>663</v>
      </c>
    </row>
    <row r="9" spans="1:10" ht="18" customHeight="1" x14ac:dyDescent="0.15">
      <c r="A9" s="2" t="s">
        <v>75</v>
      </c>
      <c r="B9" s="5">
        <v>924</v>
      </c>
      <c r="C9" s="5">
        <v>0</v>
      </c>
      <c r="D9" s="5">
        <v>0</v>
      </c>
      <c r="E9" s="5">
        <v>0</v>
      </c>
      <c r="F9" s="2" t="s">
        <v>664</v>
      </c>
      <c r="G9" s="2" t="s">
        <v>230</v>
      </c>
      <c r="H9" s="2" t="s">
        <v>665</v>
      </c>
      <c r="I9" s="2" t="s">
        <v>666</v>
      </c>
      <c r="J9" s="2" t="s">
        <v>663</v>
      </c>
    </row>
    <row r="10" spans="1:10" ht="18" customHeight="1" x14ac:dyDescent="0.15">
      <c r="A10" s="3" t="s">
        <v>76</v>
      </c>
      <c r="B10" s="6">
        <v>1007</v>
      </c>
      <c r="C10" s="6">
        <v>0</v>
      </c>
      <c r="D10" s="6">
        <v>0</v>
      </c>
      <c r="E10" s="6">
        <v>0</v>
      </c>
      <c r="F10" s="3" t="s">
        <v>449</v>
      </c>
      <c r="G10" s="3" t="s">
        <v>667</v>
      </c>
      <c r="H10" s="3" t="s">
        <v>668</v>
      </c>
      <c r="I10" s="3" t="s">
        <v>669</v>
      </c>
      <c r="J10" s="3" t="s">
        <v>663</v>
      </c>
    </row>
    <row r="11" spans="1:10" ht="18" customHeight="1" x14ac:dyDescent="0.15">
      <c r="A11" s="2" t="s">
        <v>77</v>
      </c>
      <c r="B11" s="5">
        <v>712</v>
      </c>
      <c r="C11" s="5">
        <v>0</v>
      </c>
      <c r="D11" s="5">
        <v>0</v>
      </c>
      <c r="E11" s="5">
        <v>0</v>
      </c>
      <c r="F11" s="2" t="s">
        <v>587</v>
      </c>
      <c r="G11" s="2" t="s">
        <v>385</v>
      </c>
      <c r="H11" s="2" t="s">
        <v>670</v>
      </c>
      <c r="I11" s="2" t="s">
        <v>671</v>
      </c>
      <c r="J11" s="2" t="s">
        <v>672</v>
      </c>
    </row>
    <row r="12" spans="1:10" ht="18" customHeight="1" x14ac:dyDescent="0.15">
      <c r="A12" s="3" t="s">
        <v>78</v>
      </c>
      <c r="B12" s="6">
        <v>621</v>
      </c>
      <c r="C12" s="6">
        <v>0</v>
      </c>
      <c r="D12" s="6">
        <v>0</v>
      </c>
      <c r="E12" s="6">
        <v>0</v>
      </c>
      <c r="F12" s="3" t="s">
        <v>673</v>
      </c>
      <c r="G12" s="3" t="s">
        <v>674</v>
      </c>
      <c r="H12" s="3" t="s">
        <v>675</v>
      </c>
      <c r="I12" s="3" t="s">
        <v>676</v>
      </c>
      <c r="J12" s="3" t="s">
        <v>672</v>
      </c>
    </row>
    <row r="13" spans="1:10" ht="18" customHeight="1" x14ac:dyDescent="0.15">
      <c r="A13" s="2" t="s">
        <v>79</v>
      </c>
      <c r="B13" s="5">
        <v>542</v>
      </c>
      <c r="C13" s="5">
        <v>0</v>
      </c>
      <c r="D13" s="5">
        <v>0</v>
      </c>
      <c r="E13" s="5">
        <v>0</v>
      </c>
      <c r="F13" s="2" t="s">
        <v>677</v>
      </c>
      <c r="G13" s="2" t="s">
        <v>340</v>
      </c>
      <c r="H13" s="2" t="s">
        <v>678</v>
      </c>
      <c r="I13" s="2" t="s">
        <v>679</v>
      </c>
      <c r="J13" s="2" t="s">
        <v>672</v>
      </c>
    </row>
    <row r="14" spans="1:10" ht="18" customHeight="1" x14ac:dyDescent="0.15">
      <c r="A14" s="3" t="s">
        <v>80</v>
      </c>
      <c r="B14" s="6">
        <v>441</v>
      </c>
      <c r="C14" s="6">
        <v>7</v>
      </c>
      <c r="D14" s="6">
        <v>9</v>
      </c>
      <c r="E14" s="6">
        <v>11</v>
      </c>
      <c r="F14" s="3" t="s">
        <v>680</v>
      </c>
      <c r="G14" s="3" t="s">
        <v>290</v>
      </c>
      <c r="H14" s="3" t="s">
        <v>681</v>
      </c>
      <c r="I14" s="3" t="s">
        <v>682</v>
      </c>
      <c r="J14" s="3" t="s">
        <v>672</v>
      </c>
    </row>
    <row r="15" spans="1:10" ht="18" customHeight="1" x14ac:dyDescent="0.15">
      <c r="A15" s="2" t="s">
        <v>81</v>
      </c>
      <c r="B15" s="5">
        <v>432</v>
      </c>
      <c r="C15" s="5">
        <v>32</v>
      </c>
      <c r="D15" s="5">
        <v>30</v>
      </c>
      <c r="E15" s="5">
        <v>28</v>
      </c>
      <c r="F15" s="2" t="s">
        <v>605</v>
      </c>
      <c r="G15" s="2" t="s">
        <v>683</v>
      </c>
      <c r="H15" s="2" t="s">
        <v>640</v>
      </c>
      <c r="I15" s="2" t="s">
        <v>684</v>
      </c>
      <c r="J15" s="2" t="s">
        <v>685</v>
      </c>
    </row>
    <row r="16" spans="1:10" ht="18" customHeight="1" x14ac:dyDescent="0.15">
      <c r="A16" s="3" t="s">
        <v>82</v>
      </c>
      <c r="B16" s="6">
        <v>511</v>
      </c>
      <c r="C16" s="6">
        <v>11</v>
      </c>
      <c r="D16" s="6">
        <v>11</v>
      </c>
      <c r="E16" s="6">
        <v>11</v>
      </c>
      <c r="F16" s="3" t="s">
        <v>686</v>
      </c>
      <c r="G16" s="3" t="s">
        <v>687</v>
      </c>
      <c r="H16" s="3" t="s">
        <v>688</v>
      </c>
      <c r="I16" s="3" t="s">
        <v>689</v>
      </c>
      <c r="J16" s="3" t="s">
        <v>663</v>
      </c>
    </row>
    <row r="17" spans="1:10" ht="18" customHeight="1" x14ac:dyDescent="0.15">
      <c r="A17" s="2" t="s">
        <v>83</v>
      </c>
      <c r="B17" s="5">
        <v>410</v>
      </c>
      <c r="C17" s="5">
        <v>0</v>
      </c>
      <c r="D17" s="5">
        <v>0</v>
      </c>
      <c r="E17" s="5">
        <v>0</v>
      </c>
      <c r="F17" s="2" t="s">
        <v>690</v>
      </c>
      <c r="G17" s="2" t="s">
        <v>373</v>
      </c>
      <c r="H17" s="2" t="s">
        <v>691</v>
      </c>
      <c r="I17" s="2" t="s">
        <v>692</v>
      </c>
      <c r="J17" s="2" t="s">
        <v>672</v>
      </c>
    </row>
    <row r="18" spans="1:10" ht="18" customHeight="1" x14ac:dyDescent="0.15">
      <c r="A18" s="3" t="s">
        <v>84</v>
      </c>
      <c r="B18" s="6">
        <v>599</v>
      </c>
      <c r="C18" s="6">
        <v>0</v>
      </c>
      <c r="D18" s="6">
        <v>0</v>
      </c>
      <c r="E18" s="6">
        <v>0</v>
      </c>
      <c r="F18" s="3" t="s">
        <v>693</v>
      </c>
      <c r="G18" s="3" t="s">
        <v>308</v>
      </c>
      <c r="H18" s="3" t="s">
        <v>694</v>
      </c>
      <c r="I18" s="3" t="s">
        <v>695</v>
      </c>
      <c r="J18" s="3" t="s">
        <v>663</v>
      </c>
    </row>
    <row r="19" spans="1:10" ht="18" customHeight="1" x14ac:dyDescent="0.15">
      <c r="A19" s="2" t="s">
        <v>85</v>
      </c>
      <c r="B19" s="5">
        <v>491</v>
      </c>
      <c r="C19" s="5">
        <v>0</v>
      </c>
      <c r="D19" s="5">
        <v>0</v>
      </c>
      <c r="E19" s="5">
        <v>0</v>
      </c>
      <c r="F19" s="2" t="s">
        <v>696</v>
      </c>
      <c r="G19" s="2" t="s">
        <v>697</v>
      </c>
      <c r="H19" s="2" t="s">
        <v>698</v>
      </c>
      <c r="I19" s="2" t="s">
        <v>699</v>
      </c>
      <c r="J19" s="2" t="s">
        <v>672</v>
      </c>
    </row>
    <row r="20" spans="1:10" ht="18" customHeight="1" x14ac:dyDescent="0.15">
      <c r="A20" s="3" t="s">
        <v>86</v>
      </c>
      <c r="B20" s="6">
        <v>652</v>
      </c>
      <c r="C20" s="6">
        <v>0</v>
      </c>
      <c r="D20" s="6">
        <v>0</v>
      </c>
      <c r="E20" s="6">
        <v>0</v>
      </c>
      <c r="F20" s="3" t="s">
        <v>700</v>
      </c>
      <c r="G20" s="3" t="s">
        <v>701</v>
      </c>
      <c r="H20" s="3" t="s">
        <v>665</v>
      </c>
      <c r="I20" s="3" t="s">
        <v>702</v>
      </c>
      <c r="J20" s="3" t="s">
        <v>663</v>
      </c>
    </row>
    <row r="21" spans="1:10" ht="18" customHeight="1" x14ac:dyDescent="0.15">
      <c r="A21" s="2" t="s">
        <v>87</v>
      </c>
      <c r="B21" s="5">
        <v>641</v>
      </c>
      <c r="C21" s="5">
        <v>0</v>
      </c>
      <c r="D21" s="5">
        <v>0</v>
      </c>
      <c r="E21" s="5">
        <v>0</v>
      </c>
      <c r="F21" s="2" t="s">
        <v>690</v>
      </c>
      <c r="G21" s="2" t="s">
        <v>703</v>
      </c>
      <c r="H21" s="2" t="s">
        <v>704</v>
      </c>
      <c r="I21" s="2" t="s">
        <v>705</v>
      </c>
      <c r="J21" s="2" t="s">
        <v>685</v>
      </c>
    </row>
    <row r="22" spans="1:10" ht="18" customHeight="1" x14ac:dyDescent="0.15">
      <c r="A22" s="3" t="s">
        <v>88</v>
      </c>
      <c r="B22" s="6">
        <v>74</v>
      </c>
      <c r="C22" s="6">
        <v>0</v>
      </c>
      <c r="D22" s="6">
        <v>0</v>
      </c>
      <c r="E22" s="6">
        <v>0</v>
      </c>
      <c r="F22" s="3" t="s">
        <v>200</v>
      </c>
      <c r="G22" s="3" t="s">
        <v>706</v>
      </c>
      <c r="H22" s="3" t="s">
        <v>707</v>
      </c>
      <c r="I22" s="3" t="s">
        <v>708</v>
      </c>
      <c r="J22" s="3" t="s">
        <v>672</v>
      </c>
    </row>
    <row r="23" spans="1:10" ht="9.9499999999999993" customHeight="1" x14ac:dyDescent="0.15"/>
    <row r="24" spans="1:10" ht="26.1" customHeight="1" x14ac:dyDescent="0.15">
      <c r="A24" s="10" t="s">
        <v>709</v>
      </c>
      <c r="B24" s="8"/>
      <c r="C24" s="8"/>
      <c r="D24" s="8"/>
      <c r="E24" s="8"/>
      <c r="F24" s="8"/>
      <c r="G24" s="8"/>
      <c r="H24" s="8"/>
      <c r="I24" s="8"/>
      <c r="J24" s="8"/>
    </row>
    <row r="25" spans="1:10" ht="20.100000000000001" customHeight="1" x14ac:dyDescent="0.15">
      <c r="A25" s="1" t="s">
        <v>172</v>
      </c>
      <c r="B25" s="1" t="s">
        <v>71</v>
      </c>
      <c r="C25" s="1" t="s">
        <v>186</v>
      </c>
      <c r="D25" s="1" t="s">
        <v>188</v>
      </c>
      <c r="E25" s="1" t="s">
        <v>710</v>
      </c>
      <c r="F25" s="1" t="s">
        <v>654</v>
      </c>
    </row>
    <row r="26" spans="1:10" ht="18" customHeight="1" x14ac:dyDescent="0.15">
      <c r="A26" s="2" t="s">
        <v>173</v>
      </c>
      <c r="B26" s="5">
        <v>1506</v>
      </c>
      <c r="C26" s="2" t="s">
        <v>711</v>
      </c>
      <c r="D26" s="2" t="s">
        <v>712</v>
      </c>
      <c r="E26" s="5">
        <v>284</v>
      </c>
      <c r="F26" s="2" t="s">
        <v>411</v>
      </c>
    </row>
    <row r="27" spans="1:10" ht="18" customHeight="1" x14ac:dyDescent="0.15">
      <c r="A27" s="3" t="s">
        <v>174</v>
      </c>
      <c r="B27" s="6">
        <v>1334</v>
      </c>
      <c r="C27" s="3" t="s">
        <v>713</v>
      </c>
      <c r="D27" s="3" t="s">
        <v>714</v>
      </c>
      <c r="E27" s="6">
        <v>293</v>
      </c>
      <c r="F27" s="3" t="s">
        <v>411</v>
      </c>
    </row>
    <row r="28" spans="1:10" ht="18" customHeight="1" x14ac:dyDescent="0.15">
      <c r="A28" s="2" t="s">
        <v>175</v>
      </c>
      <c r="B28" s="5">
        <v>1436</v>
      </c>
      <c r="C28" s="2" t="s">
        <v>502</v>
      </c>
      <c r="D28" s="2" t="s">
        <v>715</v>
      </c>
      <c r="E28" s="5">
        <v>305</v>
      </c>
      <c r="F28" s="2" t="s">
        <v>411</v>
      </c>
    </row>
    <row r="29" spans="1:10" ht="18" customHeight="1" x14ac:dyDescent="0.15">
      <c r="A29" s="3" t="s">
        <v>176</v>
      </c>
      <c r="B29" s="6">
        <v>1321</v>
      </c>
      <c r="C29" s="3" t="s">
        <v>716</v>
      </c>
      <c r="D29" s="3" t="s">
        <v>701</v>
      </c>
      <c r="E29" s="6">
        <v>239</v>
      </c>
      <c r="F29" s="3" t="s">
        <v>411</v>
      </c>
    </row>
    <row r="30" spans="1:10" ht="18" customHeight="1" x14ac:dyDescent="0.15">
      <c r="A30" s="2" t="s">
        <v>177</v>
      </c>
      <c r="B30" s="5">
        <v>1270</v>
      </c>
      <c r="C30" s="2" t="s">
        <v>717</v>
      </c>
      <c r="D30" s="2" t="s">
        <v>574</v>
      </c>
      <c r="E30" s="5">
        <v>255</v>
      </c>
      <c r="F30" s="2" t="s">
        <v>411</v>
      </c>
    </row>
    <row r="31" spans="1:10" ht="18" customHeight="1" x14ac:dyDescent="0.15">
      <c r="A31" s="3" t="s">
        <v>178</v>
      </c>
      <c r="B31" s="6">
        <v>1040</v>
      </c>
      <c r="C31" s="3" t="s">
        <v>718</v>
      </c>
      <c r="D31" s="3" t="s">
        <v>719</v>
      </c>
      <c r="E31" s="6">
        <v>193</v>
      </c>
      <c r="F31" s="3" t="s">
        <v>411</v>
      </c>
    </row>
    <row r="32" spans="1:10" ht="18" customHeight="1" x14ac:dyDescent="0.15">
      <c r="A32" s="2" t="s">
        <v>179</v>
      </c>
      <c r="B32" s="5">
        <v>1070</v>
      </c>
      <c r="C32" s="2" t="s">
        <v>720</v>
      </c>
      <c r="D32" s="2" t="s">
        <v>721</v>
      </c>
      <c r="E32" s="5">
        <v>225</v>
      </c>
      <c r="F32" s="2" t="s">
        <v>411</v>
      </c>
    </row>
    <row r="33" spans="1:10" ht="9.9499999999999993" customHeight="1" x14ac:dyDescent="0.15"/>
    <row r="34" spans="1:10" ht="26.1" customHeight="1" x14ac:dyDescent="0.15">
      <c r="A34" s="10" t="s">
        <v>722</v>
      </c>
      <c r="B34" s="8"/>
      <c r="C34" s="8"/>
      <c r="D34" s="8"/>
      <c r="E34" s="8"/>
      <c r="F34" s="8"/>
      <c r="G34" s="8"/>
      <c r="H34" s="8"/>
      <c r="I34" s="8"/>
      <c r="J34" s="8"/>
    </row>
    <row r="35" spans="1:10" ht="20.100000000000001" customHeight="1" x14ac:dyDescent="0.15">
      <c r="A35" s="1" t="s">
        <v>651</v>
      </c>
      <c r="B35" s="1" t="s">
        <v>723</v>
      </c>
      <c r="C35" s="1" t="s">
        <v>71</v>
      </c>
      <c r="D35" s="1" t="s">
        <v>186</v>
      </c>
      <c r="E35" s="1" t="s">
        <v>188</v>
      </c>
      <c r="F35" s="1" t="s">
        <v>496</v>
      </c>
    </row>
    <row r="36" spans="1:10" ht="18" customHeight="1" x14ac:dyDescent="0.15">
      <c r="A36" s="2" t="s">
        <v>724</v>
      </c>
      <c r="B36" s="2" t="s">
        <v>725</v>
      </c>
      <c r="C36" s="5">
        <v>1133</v>
      </c>
      <c r="D36" s="2" t="s">
        <v>726</v>
      </c>
      <c r="E36" s="2" t="s">
        <v>727</v>
      </c>
      <c r="F36" s="2" t="s">
        <v>728</v>
      </c>
    </row>
    <row r="37" spans="1:10" ht="18" customHeight="1" x14ac:dyDescent="0.15">
      <c r="A37" s="3" t="s">
        <v>729</v>
      </c>
      <c r="B37" s="3" t="s">
        <v>730</v>
      </c>
      <c r="C37" s="6">
        <v>2576</v>
      </c>
      <c r="D37" s="3" t="s">
        <v>731</v>
      </c>
      <c r="E37" s="3" t="s">
        <v>732</v>
      </c>
      <c r="F37" s="3" t="s">
        <v>733</v>
      </c>
    </row>
    <row r="38" spans="1:10" ht="18" customHeight="1" x14ac:dyDescent="0.15">
      <c r="A38" s="2" t="s">
        <v>734</v>
      </c>
      <c r="B38" s="2" t="s">
        <v>735</v>
      </c>
      <c r="C38" s="5">
        <v>3240</v>
      </c>
      <c r="D38" s="2" t="s">
        <v>736</v>
      </c>
      <c r="E38" s="2" t="s">
        <v>737</v>
      </c>
      <c r="F38" s="2" t="s">
        <v>738</v>
      </c>
    </row>
    <row r="39" spans="1:10" ht="18" customHeight="1" x14ac:dyDescent="0.15">
      <c r="A39" s="3" t="s">
        <v>739</v>
      </c>
      <c r="B39" s="3" t="s">
        <v>740</v>
      </c>
      <c r="C39" s="6">
        <v>2028</v>
      </c>
      <c r="D39" s="3" t="s">
        <v>657</v>
      </c>
      <c r="E39" s="3" t="s">
        <v>741</v>
      </c>
      <c r="F39" s="3" t="s">
        <v>742</v>
      </c>
    </row>
    <row r="40" spans="1:10" ht="9.9499999999999993" customHeight="1" x14ac:dyDescent="0.15"/>
    <row r="41" spans="1:10" ht="26.1" customHeight="1" x14ac:dyDescent="0.15">
      <c r="A41" s="10" t="s">
        <v>33</v>
      </c>
      <c r="B41" s="8"/>
      <c r="C41" s="8"/>
      <c r="D41" s="8"/>
      <c r="E41" s="8"/>
      <c r="F41" s="8"/>
      <c r="G41" s="8"/>
      <c r="H41" s="8"/>
      <c r="I41" s="8"/>
      <c r="J41" s="8"/>
    </row>
    <row r="42" spans="1:10" ht="15.95" customHeight="1" x14ac:dyDescent="0.15">
      <c r="A42" s="14" t="s">
        <v>743</v>
      </c>
      <c r="B42" s="8"/>
      <c r="C42" s="8"/>
      <c r="D42" s="8"/>
      <c r="E42" s="8"/>
      <c r="F42" s="8"/>
      <c r="G42" s="8"/>
      <c r="H42" s="8"/>
      <c r="I42" s="8"/>
      <c r="J42" s="8"/>
    </row>
    <row r="69" spans="1:10" ht="15.95" customHeight="1" x14ac:dyDescent="0.15">
      <c r="A69" s="14" t="s">
        <v>744</v>
      </c>
      <c r="B69" s="8"/>
      <c r="C69" s="8"/>
      <c r="D69" s="8"/>
      <c r="E69" s="8"/>
      <c r="F69" s="8"/>
      <c r="G69" s="8"/>
      <c r="H69" s="8"/>
      <c r="I69" s="8"/>
      <c r="J69" s="8"/>
    </row>
    <row r="96" spans="1:1" s="20" customFormat="1" ht="15" x14ac:dyDescent="0.25">
      <c r="A96" s="18" t="s">
        <v>745</v>
      </c>
    </row>
    <row r="97" spans="1:8" s="20" customFormat="1" ht="15" x14ac:dyDescent="0.25">
      <c r="A97" s="20" t="s">
        <v>746</v>
      </c>
      <c r="B97" s="20" t="s">
        <v>173</v>
      </c>
      <c r="C97" s="20" t="s">
        <v>174</v>
      </c>
      <c r="D97" s="20" t="s">
        <v>175</v>
      </c>
      <c r="E97" s="20" t="s">
        <v>176</v>
      </c>
      <c r="F97" s="20" t="s">
        <v>177</v>
      </c>
      <c r="G97" s="20" t="s">
        <v>178</v>
      </c>
      <c r="H97" s="20" t="s">
        <v>179</v>
      </c>
    </row>
    <row r="98" spans="1:8" s="20" customFormat="1" ht="15" x14ac:dyDescent="0.25">
      <c r="A98" s="20" t="s">
        <v>747</v>
      </c>
      <c r="B98" s="20">
        <v>88</v>
      </c>
      <c r="C98" s="20">
        <v>50</v>
      </c>
      <c r="D98" s="20">
        <v>55</v>
      </c>
      <c r="E98" s="20">
        <v>41</v>
      </c>
      <c r="F98" s="20">
        <v>52</v>
      </c>
      <c r="G98" s="20">
        <v>67</v>
      </c>
      <c r="H98" s="20">
        <v>39</v>
      </c>
    </row>
    <row r="99" spans="1:8" s="20" customFormat="1" ht="15" x14ac:dyDescent="0.25">
      <c r="A99" s="20" t="s">
        <v>127</v>
      </c>
      <c r="B99" s="20">
        <v>59</v>
      </c>
      <c r="C99" s="20">
        <v>41</v>
      </c>
      <c r="D99" s="20">
        <v>42</v>
      </c>
      <c r="E99" s="20">
        <v>41</v>
      </c>
      <c r="F99" s="20">
        <v>39</v>
      </c>
      <c r="G99" s="20">
        <v>34</v>
      </c>
      <c r="H99" s="20">
        <v>43</v>
      </c>
    </row>
    <row r="100" spans="1:8" s="20" customFormat="1" ht="15" x14ac:dyDescent="0.25">
      <c r="A100" s="20" t="s">
        <v>126</v>
      </c>
      <c r="B100" s="20">
        <v>31</v>
      </c>
      <c r="C100" s="20">
        <v>12</v>
      </c>
      <c r="D100" s="20">
        <v>24</v>
      </c>
      <c r="E100" s="20">
        <v>22</v>
      </c>
      <c r="F100" s="20">
        <v>20</v>
      </c>
      <c r="G100" s="20">
        <v>21</v>
      </c>
      <c r="H100" s="20">
        <v>19</v>
      </c>
    </row>
    <row r="101" spans="1:8" s="20" customFormat="1" ht="15" x14ac:dyDescent="0.25">
      <c r="A101" s="20" t="s">
        <v>125</v>
      </c>
      <c r="B101" s="20">
        <v>13</v>
      </c>
      <c r="C101" s="20">
        <v>11</v>
      </c>
      <c r="D101" s="20">
        <v>16</v>
      </c>
      <c r="E101" s="20">
        <v>14</v>
      </c>
      <c r="F101" s="20">
        <v>11</v>
      </c>
      <c r="G101" s="20">
        <v>11</v>
      </c>
      <c r="H101" s="20">
        <v>17</v>
      </c>
    </row>
    <row r="102" spans="1:8" s="20" customFormat="1" ht="15" x14ac:dyDescent="0.25">
      <c r="A102" s="20" t="s">
        <v>124</v>
      </c>
      <c r="B102" s="20">
        <v>16</v>
      </c>
      <c r="C102" s="20">
        <v>20</v>
      </c>
      <c r="D102" s="20">
        <v>20</v>
      </c>
      <c r="E102" s="20">
        <v>14</v>
      </c>
      <c r="F102" s="20">
        <v>19</v>
      </c>
      <c r="G102" s="20">
        <v>14</v>
      </c>
      <c r="H102" s="20">
        <v>24</v>
      </c>
    </row>
    <row r="103" spans="1:8" s="20" customFormat="1" ht="15" x14ac:dyDescent="0.25">
      <c r="A103" s="20" t="s">
        <v>123</v>
      </c>
      <c r="B103" s="20">
        <v>12</v>
      </c>
      <c r="C103" s="20">
        <v>5</v>
      </c>
      <c r="D103" s="20">
        <v>14</v>
      </c>
      <c r="E103" s="20">
        <v>14</v>
      </c>
      <c r="F103" s="20">
        <v>6</v>
      </c>
      <c r="G103" s="20">
        <v>11</v>
      </c>
      <c r="H103" s="20">
        <v>11</v>
      </c>
    </row>
    <row r="104" spans="1:8" s="20" customFormat="1" ht="15" x14ac:dyDescent="0.25">
      <c r="A104" s="20" t="s">
        <v>748</v>
      </c>
      <c r="B104" s="20">
        <v>56</v>
      </c>
      <c r="C104" s="20">
        <v>50</v>
      </c>
      <c r="D104" s="20">
        <v>56</v>
      </c>
      <c r="E104" s="20">
        <v>89</v>
      </c>
      <c r="F104" s="20">
        <v>57</v>
      </c>
      <c r="G104" s="20">
        <v>71</v>
      </c>
      <c r="H104" s="20">
        <v>91</v>
      </c>
    </row>
    <row r="105" spans="1:8" s="20" customFormat="1" ht="15" x14ac:dyDescent="0.25">
      <c r="A105" s="20" t="s">
        <v>749</v>
      </c>
      <c r="B105" s="20">
        <v>40</v>
      </c>
      <c r="C105" s="20">
        <v>49</v>
      </c>
      <c r="D105" s="20">
        <v>47</v>
      </c>
      <c r="E105" s="20">
        <v>32</v>
      </c>
      <c r="F105" s="20">
        <v>37</v>
      </c>
      <c r="G105" s="20">
        <v>38</v>
      </c>
      <c r="H105" s="20">
        <v>49</v>
      </c>
    </row>
    <row r="106" spans="1:8" s="20" customFormat="1" ht="15" x14ac:dyDescent="0.25">
      <c r="A106" s="20" t="s">
        <v>750</v>
      </c>
      <c r="B106" s="20">
        <v>35</v>
      </c>
      <c r="C106" s="20">
        <v>49</v>
      </c>
      <c r="D106" s="20">
        <v>67</v>
      </c>
      <c r="E106" s="20">
        <v>42</v>
      </c>
      <c r="F106" s="20">
        <v>49</v>
      </c>
      <c r="G106" s="20">
        <v>48</v>
      </c>
      <c r="H106" s="20">
        <v>50</v>
      </c>
    </row>
    <row r="107" spans="1:8" s="20" customFormat="1" ht="15" x14ac:dyDescent="0.25">
      <c r="A107" s="20" t="s">
        <v>751</v>
      </c>
      <c r="B107" s="20">
        <v>58</v>
      </c>
      <c r="C107" s="20">
        <v>66</v>
      </c>
      <c r="D107" s="20">
        <v>62</v>
      </c>
      <c r="E107" s="20">
        <v>81</v>
      </c>
      <c r="F107" s="20">
        <v>65</v>
      </c>
      <c r="G107" s="20">
        <v>70</v>
      </c>
      <c r="H107" s="20">
        <v>40</v>
      </c>
    </row>
    <row r="108" spans="1:8" s="20" customFormat="1" ht="15" x14ac:dyDescent="0.25">
      <c r="A108" s="20" t="s">
        <v>752</v>
      </c>
      <c r="B108" s="20">
        <v>84</v>
      </c>
      <c r="C108" s="20">
        <v>77</v>
      </c>
      <c r="D108" s="20">
        <v>64</v>
      </c>
      <c r="E108" s="20">
        <v>67</v>
      </c>
      <c r="F108" s="20">
        <v>67</v>
      </c>
      <c r="G108" s="20">
        <v>53</v>
      </c>
      <c r="H108" s="20">
        <v>48</v>
      </c>
    </row>
    <row r="109" spans="1:8" s="20" customFormat="1" ht="15" x14ac:dyDescent="0.25">
      <c r="A109" s="20" t="s">
        <v>753</v>
      </c>
      <c r="B109" s="20">
        <v>100</v>
      </c>
      <c r="C109" s="20">
        <v>78</v>
      </c>
      <c r="D109" s="20">
        <v>102</v>
      </c>
      <c r="E109" s="20">
        <v>81</v>
      </c>
      <c r="F109" s="20">
        <v>90</v>
      </c>
      <c r="G109" s="20">
        <v>65</v>
      </c>
      <c r="H109" s="20">
        <v>56</v>
      </c>
    </row>
    <row r="110" spans="1:8" s="20" customFormat="1" ht="15" x14ac:dyDescent="0.25">
      <c r="A110" s="20" t="s">
        <v>754</v>
      </c>
      <c r="B110" s="20">
        <v>101</v>
      </c>
      <c r="C110" s="20">
        <v>81</v>
      </c>
      <c r="D110" s="20">
        <v>88</v>
      </c>
      <c r="E110" s="20">
        <v>83</v>
      </c>
      <c r="F110" s="20">
        <v>80</v>
      </c>
      <c r="G110" s="20">
        <v>64</v>
      </c>
      <c r="H110" s="20">
        <v>53</v>
      </c>
    </row>
    <row r="111" spans="1:8" s="20" customFormat="1" ht="15" x14ac:dyDescent="0.25">
      <c r="A111" s="20" t="s">
        <v>755</v>
      </c>
      <c r="B111" s="20">
        <v>122</v>
      </c>
      <c r="C111" s="20">
        <v>95</v>
      </c>
      <c r="D111" s="20">
        <v>104</v>
      </c>
      <c r="E111" s="20">
        <v>73</v>
      </c>
      <c r="F111" s="20">
        <v>80</v>
      </c>
      <c r="G111" s="20">
        <v>63</v>
      </c>
      <c r="H111" s="20">
        <v>61</v>
      </c>
    </row>
    <row r="112" spans="1:8" s="20" customFormat="1" ht="15" x14ac:dyDescent="0.25">
      <c r="A112" s="20" t="s">
        <v>756</v>
      </c>
      <c r="B112" s="20">
        <v>98</v>
      </c>
      <c r="C112" s="20">
        <v>85</v>
      </c>
      <c r="D112" s="20">
        <v>94</v>
      </c>
      <c r="E112" s="20">
        <v>84</v>
      </c>
      <c r="F112" s="20">
        <v>69</v>
      </c>
      <c r="G112" s="20">
        <v>56</v>
      </c>
      <c r="H112" s="20">
        <v>52</v>
      </c>
    </row>
    <row r="113" spans="1:10" s="20" customFormat="1" ht="15" x14ac:dyDescent="0.25">
      <c r="A113" s="20" t="s">
        <v>757</v>
      </c>
      <c r="B113" s="20">
        <v>127</v>
      </c>
      <c r="C113" s="20">
        <v>85</v>
      </c>
      <c r="D113" s="20">
        <v>74</v>
      </c>
      <c r="E113" s="20">
        <v>76</v>
      </c>
      <c r="F113" s="20">
        <v>82</v>
      </c>
      <c r="G113" s="20">
        <v>62</v>
      </c>
      <c r="H113" s="20">
        <v>54</v>
      </c>
    </row>
    <row r="114" spans="1:10" s="20" customFormat="1" ht="15" x14ac:dyDescent="0.25">
      <c r="A114" s="20" t="s">
        <v>758</v>
      </c>
      <c r="B114" s="20">
        <v>95</v>
      </c>
      <c r="C114" s="20">
        <v>95</v>
      </c>
      <c r="D114" s="20">
        <v>95</v>
      </c>
      <c r="E114" s="20">
        <v>87</v>
      </c>
      <c r="F114" s="20">
        <v>71</v>
      </c>
      <c r="G114" s="20">
        <v>38</v>
      </c>
      <c r="H114" s="20">
        <v>63</v>
      </c>
    </row>
    <row r="115" spans="1:10" s="20" customFormat="1" ht="15" x14ac:dyDescent="0.25">
      <c r="A115" s="20" t="s">
        <v>759</v>
      </c>
      <c r="B115" s="20">
        <v>83</v>
      </c>
      <c r="C115" s="20">
        <v>67</v>
      </c>
      <c r="D115" s="20">
        <v>74</v>
      </c>
      <c r="E115" s="20">
        <v>70</v>
      </c>
      <c r="F115" s="20">
        <v>75</v>
      </c>
      <c r="G115" s="20">
        <v>40</v>
      </c>
      <c r="H115" s="20">
        <v>41</v>
      </c>
    </row>
    <row r="116" spans="1:10" s="20" customFormat="1" ht="15" x14ac:dyDescent="0.25">
      <c r="A116" s="20" t="s">
        <v>760</v>
      </c>
      <c r="B116" s="20">
        <v>61</v>
      </c>
      <c r="C116" s="20">
        <v>60</v>
      </c>
      <c r="D116" s="20">
        <v>87</v>
      </c>
      <c r="E116" s="20">
        <v>69</v>
      </c>
      <c r="F116" s="20">
        <v>67</v>
      </c>
      <c r="G116" s="20">
        <v>44</v>
      </c>
      <c r="H116" s="20">
        <v>48</v>
      </c>
    </row>
    <row r="117" spans="1:10" s="20" customFormat="1" ht="15" x14ac:dyDescent="0.25">
      <c r="A117" s="20" t="s">
        <v>761</v>
      </c>
      <c r="B117" s="20">
        <v>46</v>
      </c>
      <c r="C117" s="20">
        <v>43</v>
      </c>
      <c r="D117" s="20">
        <v>50</v>
      </c>
      <c r="E117" s="20">
        <v>40</v>
      </c>
      <c r="F117" s="20">
        <v>52</v>
      </c>
      <c r="G117" s="20">
        <v>48</v>
      </c>
      <c r="H117" s="20">
        <v>37</v>
      </c>
    </row>
    <row r="118" spans="1:10" s="20" customFormat="1" ht="15" x14ac:dyDescent="0.25">
      <c r="A118" s="20" t="s">
        <v>762</v>
      </c>
      <c r="B118" s="20">
        <v>40</v>
      </c>
      <c r="C118" s="20">
        <v>43</v>
      </c>
      <c r="D118" s="20">
        <v>62</v>
      </c>
      <c r="E118" s="20">
        <v>49</v>
      </c>
      <c r="F118" s="20">
        <v>40</v>
      </c>
      <c r="G118" s="20">
        <v>29</v>
      </c>
      <c r="H118" s="20">
        <v>38</v>
      </c>
    </row>
    <row r="119" spans="1:10" s="20" customFormat="1" ht="15" x14ac:dyDescent="0.25">
      <c r="A119" s="20" t="s">
        <v>763</v>
      </c>
      <c r="B119" s="20">
        <v>58</v>
      </c>
      <c r="C119" s="20">
        <v>65</v>
      </c>
      <c r="D119" s="20">
        <v>56</v>
      </c>
      <c r="E119" s="20">
        <v>50</v>
      </c>
      <c r="F119" s="20">
        <v>49</v>
      </c>
      <c r="G119" s="20">
        <v>38</v>
      </c>
      <c r="H119" s="20">
        <v>62</v>
      </c>
    </row>
    <row r="120" spans="1:10" s="20" customFormat="1" ht="15" x14ac:dyDescent="0.25">
      <c r="A120" s="20" t="s">
        <v>764</v>
      </c>
      <c r="B120" s="20">
        <v>44</v>
      </c>
      <c r="C120" s="20">
        <v>54</v>
      </c>
      <c r="D120" s="20">
        <v>51</v>
      </c>
      <c r="E120" s="20">
        <v>52</v>
      </c>
      <c r="F120" s="20">
        <v>47</v>
      </c>
      <c r="G120" s="20">
        <v>27</v>
      </c>
      <c r="H120" s="20">
        <v>36</v>
      </c>
    </row>
    <row r="121" spans="1:10" s="20" customFormat="1" ht="15" x14ac:dyDescent="0.25">
      <c r="A121" s="20" t="s">
        <v>765</v>
      </c>
      <c r="B121" s="20">
        <v>39</v>
      </c>
      <c r="C121" s="20">
        <v>53</v>
      </c>
      <c r="D121" s="20">
        <v>32</v>
      </c>
      <c r="E121" s="20">
        <v>50</v>
      </c>
      <c r="F121" s="20">
        <v>46</v>
      </c>
      <c r="G121" s="20">
        <v>28</v>
      </c>
      <c r="H121" s="20">
        <v>38</v>
      </c>
    </row>
    <row r="123" spans="1:10" ht="9.9499999999999993" customHeight="1" x14ac:dyDescent="0.15"/>
    <row r="124" spans="1:10" ht="26.1" customHeight="1" x14ac:dyDescent="0.15">
      <c r="A124" s="11" t="s">
        <v>53</v>
      </c>
      <c r="B124" s="8"/>
      <c r="C124" s="8"/>
      <c r="D124" s="8"/>
      <c r="E124" s="8"/>
      <c r="F124" s="8"/>
      <c r="G124" s="8"/>
      <c r="H124" s="8"/>
      <c r="I124" s="8"/>
      <c r="J124" s="8"/>
    </row>
    <row r="125" spans="1:10" ht="30" customHeight="1" x14ac:dyDescent="0.15">
      <c r="A125" s="12" t="s">
        <v>766</v>
      </c>
      <c r="B125" s="8"/>
      <c r="C125" s="8"/>
      <c r="D125" s="8"/>
      <c r="E125" s="8"/>
      <c r="F125" s="8"/>
      <c r="G125" s="8"/>
      <c r="H125" s="8"/>
      <c r="I125" s="8"/>
      <c r="J125" s="8"/>
    </row>
    <row r="126" spans="1:10" ht="6" customHeight="1" x14ac:dyDescent="0.15"/>
    <row r="127" spans="1:10" ht="30" customHeight="1" x14ac:dyDescent="0.15">
      <c r="A127" s="12" t="s">
        <v>767</v>
      </c>
      <c r="B127" s="8"/>
      <c r="C127" s="8"/>
      <c r="D127" s="8"/>
      <c r="E127" s="8"/>
      <c r="F127" s="8"/>
      <c r="G127" s="8"/>
      <c r="H127" s="8"/>
      <c r="I127" s="8"/>
      <c r="J127" s="8"/>
    </row>
    <row r="128" spans="1:10" ht="6" customHeight="1" x14ac:dyDescent="0.15"/>
    <row r="129" spans="1:10" ht="30" customHeight="1" x14ac:dyDescent="0.15">
      <c r="A129" s="12" t="s">
        <v>316</v>
      </c>
      <c r="B129" s="8"/>
      <c r="C129" s="8"/>
      <c r="D129" s="8"/>
      <c r="E129" s="8"/>
      <c r="F129" s="8"/>
      <c r="G129" s="8"/>
      <c r="H129" s="8"/>
      <c r="I129" s="8"/>
      <c r="J129" s="8"/>
    </row>
    <row r="130" spans="1:10" ht="30" customHeight="1" x14ac:dyDescent="0.15">
      <c r="A130" s="7" t="s">
        <v>768</v>
      </c>
      <c r="B130" s="8"/>
      <c r="C130" s="8"/>
      <c r="D130" s="8"/>
      <c r="E130" s="8"/>
      <c r="F130" s="8"/>
      <c r="G130" s="8"/>
      <c r="H130" s="8"/>
      <c r="I130" s="8"/>
      <c r="J130" s="8"/>
    </row>
    <row r="131" spans="1:10" ht="30" customHeight="1" x14ac:dyDescent="0.15">
      <c r="A131" s="7" t="s">
        <v>769</v>
      </c>
      <c r="B131" s="8"/>
      <c r="C131" s="8"/>
      <c r="D131" s="8"/>
      <c r="E131" s="8"/>
      <c r="F131" s="8"/>
      <c r="G131" s="8"/>
      <c r="H131" s="8"/>
      <c r="I131" s="8"/>
      <c r="J131" s="8"/>
    </row>
    <row r="132" spans="1:10" ht="30" customHeight="1" x14ac:dyDescent="0.15">
      <c r="A132" s="7" t="s">
        <v>770</v>
      </c>
      <c r="B132" s="8"/>
      <c r="C132" s="8"/>
      <c r="D132" s="8"/>
      <c r="E132" s="8"/>
      <c r="F132" s="8"/>
      <c r="G132" s="8"/>
      <c r="H132" s="8"/>
      <c r="I132" s="8"/>
      <c r="J132" s="8"/>
    </row>
    <row r="133" spans="1:10" ht="6" customHeight="1" x14ac:dyDescent="0.15"/>
    <row r="134" spans="1:10" ht="30" customHeight="1" x14ac:dyDescent="0.15">
      <c r="A134" s="12" t="s">
        <v>771</v>
      </c>
      <c r="B134" s="8"/>
      <c r="C134" s="8"/>
      <c r="D134" s="8"/>
      <c r="E134" s="8"/>
      <c r="F134" s="8"/>
      <c r="G134" s="8"/>
      <c r="H134" s="8"/>
      <c r="I134" s="8"/>
      <c r="J134" s="8"/>
    </row>
    <row r="135" spans="1:10" ht="9.9499999999999993" customHeight="1" x14ac:dyDescent="0.15"/>
    <row r="136" spans="1:10" ht="9.9499999999999993" customHeight="1" x14ac:dyDescent="0.15"/>
    <row r="137" spans="1:10" x14ac:dyDescent="0.15">
      <c r="A137" s="13" t="s">
        <v>62</v>
      </c>
      <c r="B137" s="8"/>
      <c r="C137" s="8"/>
      <c r="D137" s="8"/>
      <c r="E137" s="8"/>
      <c r="F137" s="8"/>
      <c r="G137" s="8"/>
      <c r="H137" s="8"/>
      <c r="I137" s="8"/>
      <c r="J137" s="8"/>
    </row>
  </sheetData>
  <mergeCells count="18">
    <mergeCell ref="A137:J137"/>
    <mergeCell ref="A124:J124"/>
    <mergeCell ref="A130:J130"/>
    <mergeCell ref="A34:J34"/>
    <mergeCell ref="A69:J69"/>
    <mergeCell ref="A125:J125"/>
    <mergeCell ref="A134:J134"/>
    <mergeCell ref="A42:J42"/>
    <mergeCell ref="A41:J41"/>
    <mergeCell ref="A129:J129"/>
    <mergeCell ref="A1:J1"/>
    <mergeCell ref="A5:J5"/>
    <mergeCell ref="A132:J132"/>
    <mergeCell ref="A127:J127"/>
    <mergeCell ref="A131:J131"/>
    <mergeCell ref="A4:J4"/>
    <mergeCell ref="A24:J24"/>
    <mergeCell ref="A2:J2"/>
  </mergeCells>
  <phoneticPr fontId="13" type="noConversion"/>
  <conditionalFormatting sqref="B98:H121">
    <cfRule type="colorScale" priority="1">
      <colorScale>
        <cfvo type="min"/>
        <cfvo type="percentile" val="50"/>
        <cfvo type="max"/>
        <color rgb="FFF7FCF5"/>
        <color rgb="FFFEB24C"/>
        <color rgb="FFE31A1C"/>
      </colorScale>
    </cfRule>
  </conditionalFormatting>
  <pageMargins left="0.75" right="0.75" top="1" bottom="1" header="0.5" footer="0.5"/>
  <pageSetup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4B8A6"/>
    <pageSetUpPr fitToPage="1"/>
  </sheetPr>
  <dimension ref="A1:J92"/>
  <sheetViews>
    <sheetView topLeftCell="A61" workbookViewId="0">
      <selection sqref="A1:J1"/>
    </sheetView>
  </sheetViews>
  <sheetFormatPr defaultRowHeight="13.5" x14ac:dyDescent="0.15"/>
  <cols>
    <col min="1" max="1" width="10" customWidth="1"/>
    <col min="2" max="2" width="12" customWidth="1"/>
    <col min="3" max="3" width="48" customWidth="1"/>
    <col min="4" max="4" width="50" customWidth="1"/>
    <col min="5" max="5" width="12" customWidth="1"/>
  </cols>
  <sheetData>
    <row r="1" spans="1:10" ht="36" customHeight="1" x14ac:dyDescent="0.15">
      <c r="A1" s="9" t="s">
        <v>32</v>
      </c>
      <c r="B1" s="8"/>
      <c r="C1" s="8"/>
      <c r="D1" s="8"/>
      <c r="E1" s="8"/>
      <c r="F1" s="8"/>
      <c r="G1" s="8"/>
      <c r="H1" s="8"/>
      <c r="I1" s="8"/>
      <c r="J1" s="8"/>
    </row>
    <row r="2" spans="1:10" ht="21.95" customHeight="1" x14ac:dyDescent="0.15">
      <c r="A2" s="15" t="s">
        <v>1</v>
      </c>
      <c r="B2" s="8"/>
      <c r="C2" s="8"/>
      <c r="D2" s="8"/>
      <c r="E2" s="8"/>
      <c r="F2" s="8"/>
      <c r="G2" s="8"/>
      <c r="H2" s="8"/>
      <c r="I2" s="8"/>
      <c r="J2" s="8"/>
    </row>
    <row r="3" spans="1:10" ht="9.9499999999999993" customHeight="1" x14ac:dyDescent="0.15"/>
    <row r="4" spans="1:10" ht="26.1" customHeight="1" x14ac:dyDescent="0.15">
      <c r="A4" s="10" t="s">
        <v>184</v>
      </c>
      <c r="B4" s="8"/>
      <c r="C4" s="8"/>
      <c r="D4" s="8"/>
      <c r="E4" s="8"/>
      <c r="F4" s="8"/>
      <c r="G4" s="8"/>
      <c r="H4" s="8"/>
      <c r="I4" s="8"/>
      <c r="J4" s="8"/>
    </row>
    <row r="5" spans="1:10" ht="26.1" customHeight="1" x14ac:dyDescent="0.15">
      <c r="A5" s="10" t="s">
        <v>772</v>
      </c>
      <c r="B5" s="8"/>
      <c r="C5" s="8"/>
      <c r="D5" s="8"/>
      <c r="E5" s="8"/>
      <c r="F5" s="8"/>
      <c r="G5" s="8"/>
      <c r="H5" s="8"/>
      <c r="I5" s="8"/>
      <c r="J5" s="8"/>
    </row>
    <row r="6" spans="1:10" ht="20.100000000000001" customHeight="1" x14ac:dyDescent="0.15">
      <c r="A6" s="1" t="s">
        <v>773</v>
      </c>
      <c r="B6" s="1" t="s">
        <v>37</v>
      </c>
      <c r="C6" s="1" t="s">
        <v>774</v>
      </c>
      <c r="D6" s="1" t="s">
        <v>40</v>
      </c>
      <c r="E6" s="1" t="s">
        <v>775</v>
      </c>
    </row>
    <row r="7" spans="1:10" ht="18" customHeight="1" x14ac:dyDescent="0.15">
      <c r="A7" s="5">
        <v>1</v>
      </c>
      <c r="B7" s="2" t="s">
        <v>180</v>
      </c>
      <c r="C7" s="2" t="s">
        <v>776</v>
      </c>
      <c r="D7" s="2" t="s">
        <v>44</v>
      </c>
      <c r="E7" s="2" t="s">
        <v>777</v>
      </c>
    </row>
    <row r="8" spans="1:10" ht="18" customHeight="1" x14ac:dyDescent="0.15">
      <c r="A8" s="6">
        <v>2</v>
      </c>
      <c r="B8" s="3" t="s">
        <v>180</v>
      </c>
      <c r="C8" s="3" t="s">
        <v>778</v>
      </c>
      <c r="D8" s="3" t="s">
        <v>47</v>
      </c>
      <c r="E8" s="3" t="s">
        <v>779</v>
      </c>
    </row>
    <row r="9" spans="1:10" ht="18" customHeight="1" x14ac:dyDescent="0.15">
      <c r="A9" s="5">
        <v>3</v>
      </c>
      <c r="B9" s="2" t="s">
        <v>181</v>
      </c>
      <c r="C9" s="2" t="s">
        <v>780</v>
      </c>
      <c r="D9" s="2" t="s">
        <v>47</v>
      </c>
      <c r="E9" s="2" t="s">
        <v>781</v>
      </c>
    </row>
    <row r="10" spans="1:10" ht="18" customHeight="1" x14ac:dyDescent="0.15">
      <c r="A10" s="6">
        <v>4</v>
      </c>
      <c r="B10" s="3" t="s">
        <v>182</v>
      </c>
      <c r="C10" s="3" t="s">
        <v>782</v>
      </c>
      <c r="D10" s="3" t="s">
        <v>44</v>
      </c>
      <c r="E10" s="3" t="s">
        <v>783</v>
      </c>
    </row>
    <row r="11" spans="1:10" ht="18" customHeight="1" x14ac:dyDescent="0.15">
      <c r="A11" s="5">
        <v>5</v>
      </c>
      <c r="B11" s="2" t="s">
        <v>182</v>
      </c>
      <c r="C11" s="2" t="s">
        <v>784</v>
      </c>
      <c r="D11" s="2" t="s">
        <v>183</v>
      </c>
      <c r="E11" s="2" t="s">
        <v>785</v>
      </c>
    </row>
    <row r="12" spans="1:10" ht="9.9499999999999993" customHeight="1" x14ac:dyDescent="0.15"/>
    <row r="13" spans="1:10" ht="26.1" customHeight="1" x14ac:dyDescent="0.15">
      <c r="A13" s="10" t="s">
        <v>786</v>
      </c>
      <c r="B13" s="8"/>
      <c r="C13" s="8"/>
      <c r="D13" s="8"/>
      <c r="E13" s="8"/>
      <c r="F13" s="8"/>
      <c r="G13" s="8"/>
      <c r="H13" s="8"/>
      <c r="I13" s="8"/>
      <c r="J13" s="8"/>
    </row>
    <row r="14" spans="1:10" ht="20.100000000000001" customHeight="1" x14ac:dyDescent="0.15">
      <c r="A14" s="1" t="s">
        <v>787</v>
      </c>
      <c r="B14" s="1" t="s">
        <v>37</v>
      </c>
      <c r="C14" s="1" t="s">
        <v>788</v>
      </c>
      <c r="D14" s="1" t="s">
        <v>39</v>
      </c>
      <c r="E14" s="1" t="s">
        <v>40</v>
      </c>
    </row>
    <row r="15" spans="1:10" ht="18" customHeight="1" x14ac:dyDescent="0.15">
      <c r="A15" s="2" t="s">
        <v>789</v>
      </c>
      <c r="B15" s="2" t="s">
        <v>41</v>
      </c>
      <c r="C15" s="2" t="s">
        <v>42</v>
      </c>
      <c r="D15" s="2" t="s">
        <v>43</v>
      </c>
      <c r="E15" s="2" t="s">
        <v>44</v>
      </c>
    </row>
    <row r="16" spans="1:10" ht="18" customHeight="1" x14ac:dyDescent="0.15">
      <c r="A16" s="3" t="s">
        <v>790</v>
      </c>
      <c r="B16" s="3" t="s">
        <v>41</v>
      </c>
      <c r="C16" s="3" t="s">
        <v>45</v>
      </c>
      <c r="D16" s="3" t="s">
        <v>46</v>
      </c>
      <c r="E16" s="3" t="s">
        <v>47</v>
      </c>
    </row>
    <row r="17" spans="1:10" ht="18" customHeight="1" x14ac:dyDescent="0.15">
      <c r="A17" s="2" t="s">
        <v>791</v>
      </c>
      <c r="B17" s="2" t="s">
        <v>48</v>
      </c>
      <c r="C17" s="2" t="s">
        <v>49</v>
      </c>
      <c r="D17" s="2" t="s">
        <v>50</v>
      </c>
      <c r="E17" s="2" t="s">
        <v>44</v>
      </c>
    </row>
    <row r="18" spans="1:10" ht="18" customHeight="1" x14ac:dyDescent="0.15">
      <c r="A18" s="3" t="s">
        <v>791</v>
      </c>
      <c r="B18" s="3" t="s">
        <v>48</v>
      </c>
      <c r="C18" s="3" t="s">
        <v>51</v>
      </c>
      <c r="D18" s="3" t="s">
        <v>50</v>
      </c>
      <c r="E18" s="3" t="s">
        <v>44</v>
      </c>
    </row>
    <row r="19" spans="1:10" ht="18" customHeight="1" x14ac:dyDescent="0.15">
      <c r="A19" s="2" t="s">
        <v>791</v>
      </c>
      <c r="B19" s="2" t="s">
        <v>48</v>
      </c>
      <c r="C19" s="2" t="s">
        <v>52</v>
      </c>
      <c r="D19" s="2" t="s">
        <v>50</v>
      </c>
      <c r="E19" s="2" t="s">
        <v>44</v>
      </c>
    </row>
    <row r="20" spans="1:10" ht="18" customHeight="1" x14ac:dyDescent="0.15">
      <c r="A20" s="3" t="s">
        <v>792</v>
      </c>
      <c r="B20" s="3" t="s">
        <v>48</v>
      </c>
      <c r="C20" s="3" t="s">
        <v>793</v>
      </c>
      <c r="D20" s="3" t="s">
        <v>794</v>
      </c>
      <c r="E20" s="3" t="s">
        <v>47</v>
      </c>
    </row>
    <row r="21" spans="1:10" ht="18" customHeight="1" x14ac:dyDescent="0.15">
      <c r="A21" s="2" t="s">
        <v>795</v>
      </c>
      <c r="B21" s="2" t="s">
        <v>48</v>
      </c>
      <c r="C21" s="2" t="s">
        <v>796</v>
      </c>
      <c r="D21" s="2" t="s">
        <v>797</v>
      </c>
      <c r="E21" s="2" t="s">
        <v>183</v>
      </c>
    </row>
    <row r="22" spans="1:10" ht="18" customHeight="1" x14ac:dyDescent="0.15">
      <c r="A22" s="3" t="s">
        <v>798</v>
      </c>
      <c r="B22" s="3" t="s">
        <v>48</v>
      </c>
      <c r="C22" s="3" t="s">
        <v>799</v>
      </c>
      <c r="D22" s="3" t="s">
        <v>800</v>
      </c>
      <c r="E22" s="3" t="s">
        <v>801</v>
      </c>
    </row>
    <row r="23" spans="1:10" ht="9.9499999999999993" customHeight="1" x14ac:dyDescent="0.15"/>
    <row r="24" spans="1:10" ht="26.1" customHeight="1" x14ac:dyDescent="0.15">
      <c r="A24" s="10" t="s">
        <v>33</v>
      </c>
      <c r="B24" s="8"/>
      <c r="C24" s="8"/>
      <c r="D24" s="8"/>
      <c r="E24" s="8"/>
      <c r="F24" s="8"/>
      <c r="G24" s="8"/>
      <c r="H24" s="8"/>
      <c r="I24" s="8"/>
      <c r="J24" s="8"/>
    </row>
    <row r="25" spans="1:10" ht="15.95" customHeight="1" x14ac:dyDescent="0.15">
      <c r="A25" s="14" t="s">
        <v>802</v>
      </c>
      <c r="B25" s="8"/>
      <c r="C25" s="8"/>
      <c r="D25" s="8"/>
      <c r="E25" s="8"/>
      <c r="F25" s="8"/>
      <c r="G25" s="8"/>
      <c r="H25" s="8"/>
      <c r="I25" s="8"/>
      <c r="J25" s="8"/>
    </row>
    <row r="52" spans="1:10" ht="15.95" customHeight="1" x14ac:dyDescent="0.15">
      <c r="A52" s="14" t="s">
        <v>803</v>
      </c>
      <c r="B52" s="8"/>
      <c r="C52" s="8"/>
      <c r="D52" s="8"/>
      <c r="E52" s="8"/>
      <c r="F52" s="8"/>
      <c r="G52" s="8"/>
      <c r="H52" s="8"/>
      <c r="I52" s="8"/>
      <c r="J52" s="8"/>
    </row>
    <row r="79" spans="1:10" ht="9.9499999999999993" customHeight="1" x14ac:dyDescent="0.15"/>
    <row r="80" spans="1:10" ht="26.1" customHeight="1" x14ac:dyDescent="0.15">
      <c r="A80" s="11" t="s">
        <v>53</v>
      </c>
      <c r="B80" s="8"/>
      <c r="C80" s="8"/>
      <c r="D80" s="8"/>
      <c r="E80" s="8"/>
      <c r="F80" s="8"/>
      <c r="G80" s="8"/>
      <c r="H80" s="8"/>
      <c r="I80" s="8"/>
      <c r="J80" s="8"/>
    </row>
    <row r="81" spans="1:10" ht="30" customHeight="1" x14ac:dyDescent="0.15">
      <c r="A81" s="12" t="s">
        <v>804</v>
      </c>
      <c r="B81" s="8"/>
      <c r="C81" s="8"/>
      <c r="D81" s="8"/>
      <c r="E81" s="8"/>
      <c r="F81" s="8"/>
      <c r="G81" s="8"/>
      <c r="H81" s="8"/>
      <c r="I81" s="8"/>
      <c r="J81" s="8"/>
    </row>
    <row r="82" spans="1:10" ht="6" customHeight="1" x14ac:dyDescent="0.15"/>
    <row r="83" spans="1:10" ht="30" customHeight="1" x14ac:dyDescent="0.15">
      <c r="A83" s="12" t="s">
        <v>805</v>
      </c>
      <c r="B83" s="8"/>
      <c r="C83" s="8"/>
      <c r="D83" s="8"/>
      <c r="E83" s="8"/>
      <c r="F83" s="8"/>
      <c r="G83" s="8"/>
      <c r="H83" s="8"/>
      <c r="I83" s="8"/>
      <c r="J83" s="8"/>
    </row>
    <row r="84" spans="1:10" ht="6" customHeight="1" x14ac:dyDescent="0.15"/>
    <row r="85" spans="1:10" ht="30" customHeight="1" x14ac:dyDescent="0.15">
      <c r="A85" s="12" t="s">
        <v>316</v>
      </c>
      <c r="B85" s="8"/>
      <c r="C85" s="8"/>
      <c r="D85" s="8"/>
      <c r="E85" s="8"/>
      <c r="F85" s="8"/>
      <c r="G85" s="8"/>
      <c r="H85" s="8"/>
      <c r="I85" s="8"/>
      <c r="J85" s="8"/>
    </row>
    <row r="86" spans="1:10" ht="30" customHeight="1" x14ac:dyDescent="0.15">
      <c r="A86" s="7" t="s">
        <v>806</v>
      </c>
      <c r="B86" s="8"/>
      <c r="C86" s="8"/>
      <c r="D86" s="8"/>
      <c r="E86" s="8"/>
      <c r="F86" s="8"/>
      <c r="G86" s="8"/>
      <c r="H86" s="8"/>
      <c r="I86" s="8"/>
      <c r="J86" s="8"/>
    </row>
    <row r="87" spans="1:10" ht="30" customHeight="1" x14ac:dyDescent="0.15">
      <c r="A87" s="7" t="s">
        <v>807</v>
      </c>
      <c r="B87" s="8"/>
      <c r="C87" s="8"/>
      <c r="D87" s="8"/>
      <c r="E87" s="8"/>
      <c r="F87" s="8"/>
      <c r="G87" s="8"/>
      <c r="H87" s="8"/>
      <c r="I87" s="8"/>
      <c r="J87" s="8"/>
    </row>
    <row r="88" spans="1:10" ht="6" customHeight="1" x14ac:dyDescent="0.15"/>
    <row r="89" spans="1:10" ht="30" customHeight="1" x14ac:dyDescent="0.15">
      <c r="A89" s="12" t="s">
        <v>808</v>
      </c>
      <c r="B89" s="8"/>
      <c r="C89" s="8"/>
      <c r="D89" s="8"/>
      <c r="E89" s="8"/>
      <c r="F89" s="8"/>
      <c r="G89" s="8"/>
      <c r="H89" s="8"/>
      <c r="I89" s="8"/>
      <c r="J89" s="8"/>
    </row>
    <row r="90" spans="1:10" ht="9.9499999999999993" customHeight="1" x14ac:dyDescent="0.15"/>
    <row r="91" spans="1:10" ht="9.9499999999999993" customHeight="1" x14ac:dyDescent="0.15"/>
    <row r="92" spans="1:10" x14ac:dyDescent="0.15">
      <c r="A92" s="13" t="s">
        <v>62</v>
      </c>
      <c r="B92" s="8"/>
      <c r="C92" s="8"/>
      <c r="D92" s="8"/>
      <c r="E92" s="8"/>
      <c r="F92" s="8"/>
      <c r="G92" s="8"/>
      <c r="H92" s="8"/>
      <c r="I92" s="8"/>
      <c r="J92" s="8"/>
    </row>
  </sheetData>
  <mergeCells count="16">
    <mergeCell ref="A92:J92"/>
    <mergeCell ref="A83:J83"/>
    <mergeCell ref="A87:J87"/>
    <mergeCell ref="A4:J4"/>
    <mergeCell ref="A81:J81"/>
    <mergeCell ref="A24:J24"/>
    <mergeCell ref="A86:J86"/>
    <mergeCell ref="A52:J52"/>
    <mergeCell ref="A25:J25"/>
    <mergeCell ref="A13:J13"/>
    <mergeCell ref="A85:J85"/>
    <mergeCell ref="A1:J1"/>
    <mergeCell ref="A5:J5"/>
    <mergeCell ref="A80:J80"/>
    <mergeCell ref="A89:J89"/>
    <mergeCell ref="A2:J2"/>
  </mergeCells>
  <phoneticPr fontId="13" type="noConversion"/>
  <pageMargins left="0.75" right="0.75" top="1" bottom="1" header="0.5" footer="0.5"/>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Executive Summary</vt:lpstr>
      <vt:lpstr>_ChartData</vt:lpstr>
      <vt:lpstr>Incident Analysis</vt:lpstr>
      <vt:lpstr>Incident SLA</vt:lpstr>
      <vt:lpstr>Change Analysis</vt:lpstr>
      <vt:lpstr>Request Analysis</vt:lpstr>
      <vt:lpstr>Problem Analysis</vt:lpstr>
      <vt:lpstr>Cross-Process</vt:lpstr>
      <vt:lpstr>Personnel &amp; Efficiency</vt:lpstr>
      <vt:lpstr>Time Analysis</vt:lpstr>
      <vt:lpstr>Action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Niebuyang (Roberto)</cp:lastModifiedBy>
  <dcterms:created xsi:type="dcterms:W3CDTF">2026-01-30T15:00:12Z</dcterms:created>
  <dcterms:modified xsi:type="dcterms:W3CDTF">2026-01-30T15:27:27Z</dcterms:modified>
</cp:coreProperties>
</file>