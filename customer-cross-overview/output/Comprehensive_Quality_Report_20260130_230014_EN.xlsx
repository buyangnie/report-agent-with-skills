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_ChartData" sheetId="2" state="hidden" r:id="rId2"/>
    <sheet xmlns:r="http://schemas.openxmlformats.org/officeDocument/2006/relationships" name="Incident Analysis" sheetId="3" state="visible" r:id="rId3"/>
    <sheet xmlns:r="http://schemas.openxmlformats.org/officeDocument/2006/relationships" name="Incident SLA" sheetId="4" state="visible" r:id="rId4"/>
    <sheet xmlns:r="http://schemas.openxmlformats.org/officeDocument/2006/relationships" name="Change Analysis" sheetId="5" state="visible" r:id="rId5"/>
    <sheet xmlns:r="http://schemas.openxmlformats.org/officeDocument/2006/relationships" name="Request Analysis" sheetId="6" state="visible" r:id="rId6"/>
    <sheet xmlns:r="http://schemas.openxmlformats.org/officeDocument/2006/relationships" name="Problem Analysis" sheetId="7" state="visible" r:id="rId7"/>
    <sheet xmlns:r="http://schemas.openxmlformats.org/officeDocument/2006/relationships" name="Cross-Process" sheetId="8" state="visible" r:id="rId8"/>
    <sheet xmlns:r="http://schemas.openxmlformats.org/officeDocument/2006/relationships" name="Personnel &amp; Efficiency" sheetId="9" state="visible" r:id="rId9"/>
    <sheet xmlns:r="http://schemas.openxmlformats.org/officeDocument/2006/relationships" name="Time Analysis" sheetId="10" state="visible" r:id="rId10"/>
    <sheet xmlns:r="http://schemas.openxmlformats.org/officeDocument/2006/relationships" name="Action Plan"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e3a5f"/>
      <sz val="18"/>
    </font>
    <font>
      <name val="Calibri"/>
      <color rgb="0064748b"/>
      <sz val="14"/>
    </font>
    <font>
      <name val="Calibri"/>
      <b val="1"/>
      <color rgb="001e3a5f"/>
      <sz val="12"/>
    </font>
    <font>
      <name val="Calibri"/>
      <b val="1"/>
      <color rgb="00ffffff"/>
      <sz val="10"/>
    </font>
    <font>
      <name val="Calibri"/>
      <color rgb="001e293b"/>
      <sz val="10"/>
    </font>
    <font>
      <color rgb="003b82f6"/>
      <sz val="10"/>
      <u val="single"/>
    </font>
    <font>
      <name val="Calibri"/>
      <i val="1"/>
      <color rgb="0064748b"/>
      <sz val="9"/>
    </font>
    <font>
      <name val="Calibri"/>
      <b val="1"/>
      <color rgb="001e3a5f"/>
      <sz val="11"/>
    </font>
    <font>
      <name val="Calibri"/>
      <color rgb="00334155"/>
      <sz val="10"/>
    </font>
    <font>
      <name val="Calibri"/>
      <b val="1"/>
      <color rgb="001e3a5f"/>
      <sz val="10"/>
    </font>
    <font>
      <name val="Calibri"/>
      <i val="1"/>
      <color rgb="0064748b"/>
      <sz val="8"/>
    </font>
    <font>
      <name val="Arial"/>
      <color rgb="001e293b"/>
      <sz val="10"/>
    </font>
    <font>
      <b val="1"/>
      <sz val="11"/>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0" borderId="0" applyAlignment="1" pivotButton="0" quotePrefix="0" xfId="0">
      <alignment horizontal="center" vertical="center"/>
    </xf>
    <xf numFmtId="0" fontId="12" fillId="3" borderId="2" applyAlignment="1" pivotButton="0" quotePrefix="0" xfId="0">
      <alignment horizontal="right" vertical="center"/>
    </xf>
    <xf numFmtId="0" fontId="12" fillId="4" borderId="2" applyAlignment="1" pivotButton="0" quotePrefix="0" xfId="0">
      <alignment horizontal="right" vertical="center"/>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Health Score: 33/100</a:t>
            </a:r>
          </a:p>
        </rich>
      </tx>
    </title>
    <plotArea>
      <doughnutChart>
        <varyColors val="1"/>
        <ser>
          <idx val="0"/>
          <order val="0"/>
          <tx>
            <strRef>
              <f>'_ChartData'!B1</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'_ChartData'!$A$2:$A$3</f>
            </numRef>
          </cat>
          <val>
            <numRef>
              <f>'_ChartData'!$B$2:$B$3</f>
            </numRef>
          </val>
        </ser>
        <firstSliceAng val="0"/>
        <holeSize val="10"/>
      </doughnutChart>
    </plotArea>
    <plotVisOnly val="1"/>
    <dispBlanksAs val="gap"/>
  </chart>
</chartSpace>
</file>

<file path=xl/charts/chart2.xml><?xml version="1.0" encoding="utf-8"?>
<chartSpace xmlns="http://schemas.openxmlformats.org/drawingml/2006/chart">
  <style val="26"/>
  <chart>
    <title>
      <tx>
        <rich>
          <a:bodyPr xmlns:a="http://schemas.openxmlformats.org/drawingml/2006/main"/>
          <a:p xmlns:a="http://schemas.openxmlformats.org/drawingml/2006/main">
            <a:pPr>
              <a:defRPr/>
            </a:pPr>
            <a:r>
              <a:t>Process Health Radar</a:t>
            </a:r>
          </a:p>
        </rich>
      </tx>
    </title>
    <plotArea>
      <radarChart>
        <radarStyle val="filled"/>
        <ser>
          <idx val="0"/>
          <order val="0"/>
          <tx>
            <strRef>
              <f>'_ChartData'!B5</f>
            </strRef>
          </tx>
          <spPr>
            <a:solidFill xmlns:a="http://schemas.openxmlformats.org/drawingml/2006/main">
              <a:srgbClr val="3b82f6"/>
            </a:solidFill>
            <a:ln xmlns:a="http://schemas.openxmlformats.org/drawingml/2006/main">
              <a:prstDash val="solid"/>
            </a:ln>
          </spPr>
          <marker>
            <symbol val="none"/>
            <spPr>
              <a:ln xmlns:a="http://schemas.openxmlformats.org/drawingml/2006/main">
                <a:prstDash val="solid"/>
              </a:ln>
            </spPr>
          </marker>
          <cat>
            <numRef>
              <f>'_ChartData'!$A$6:$A$9</f>
            </numRef>
          </cat>
          <val>
            <numRef>
              <f>'_ChartData'!$B$6:$B$9</f>
            </numRef>
          </val>
        </ser>
        <axId val="10"/>
        <axId val="100"/>
      </rad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Monthly Incident Trend</a:t>
            </a:r>
          </a:p>
        </rich>
      </tx>
    </title>
    <plotArea>
      <barChart>
        <barDir val="col"/>
        <grouping val="clustered"/>
        <ser>
          <idx val="0"/>
          <order val="0"/>
          <tx>
            <strRef>
              <f>'_ChartData'!B11</f>
            </strRef>
          </tx>
          <spPr>
            <a:solidFill xmlns:a="http://schemas.openxmlformats.org/drawingml/2006/main">
              <a:srgbClr val="3b82f6"/>
            </a:solidFill>
            <a:ln xmlns:a="http://schemas.openxmlformats.org/drawingml/2006/main">
              <a:prstDash val="solid"/>
            </a:ln>
          </spPr>
          <cat>
            <numRef>
              <f>'_ChartData'!$A$12:$A$27</f>
            </numRef>
          </cat>
          <val>
            <numRef>
              <f>'_ChartData'!$B$12:$B$27</f>
            </numRef>
          </val>
        </ser>
        <dLbls>
          <showVal val="1"/>
          <showCatName val="0"/>
          <showPercent val="0"/>
        </dLbls>
        <gapWidth val="150"/>
        <axId val="10"/>
        <axId val="100"/>
      </barChart>
      <lineChart>
        <grouping val="standard"/>
        <ser>
          <idx val="1"/>
          <order val="1"/>
          <tx>
            <strRef>
              <f>'_ChartData'!C11</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'_ChartData'!$C$12:$C$27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Incidents by Priority</a:t>
            </a:r>
          </a:p>
        </rich>
      </tx>
    </title>
    <plotArea>
      <pieChart>
        <varyColors val="1"/>
        <ser>
          <idx val="0"/>
          <order val="0"/>
          <tx>
            <strRef>
              <f>'_ChartData'!B29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'_ChartData'!$A$30:$A$33</f>
            </numRef>
          </cat>
          <val>
            <numRef>
              <f>'_ChartData'!$B$30:$B$33</f>
            </numRef>
          </val>
        </ser>
        <dLbls>
          <showVal val="0"/>
          <showCatName val="1"/>
          <showPercent val="1"/>
        </dLbls>
        <firstSliceAng val="0"/>
      </pieChart>
    </plotArea>
    <legend>
      <legendPos val="b"/>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Top 10 Incident Categories</a:t>
            </a:r>
          </a:p>
        </rich>
      </tx>
    </title>
    <plotArea>
      <barChart>
        <barDir val="bar"/>
        <grouping val="clustered"/>
        <ser>
          <idx val="0"/>
          <order val="0"/>
          <tx>
            <strRef>
              <f>'_ChartData'!B35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'_ChartData'!$A$36:$A$45</f>
            </numRef>
          </cat>
          <val>
            <numRef>
              <f>'_ChartData'!$B$36:$B$45</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Resolution SLA: 64.2%</a:t>
            </a:r>
          </a:p>
        </rich>
      </tx>
    </title>
    <plotArea>
      <doughnutChart>
        <varyColors val="1"/>
        <ser>
          <idx val="0"/>
          <order val="0"/>
          <tx>
            <strRef>
              <f>'_ChartData'!B47</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'_ChartData'!$A$48:$A$49</f>
            </numRef>
          </cat>
          <val>
            <numRef>
              <f>'_ChartData'!$B$48:$B$49</f>
            </numRef>
          </val>
        </ser>
        <firstSliceAng val="0"/>
        <holeSize val="10"/>
      </doughnutChart>
    </plotArea>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Monthly SLA Trend</a:t>
            </a:r>
          </a:p>
        </rich>
      </tx>
    </title>
    <plotArea>
      <lineChart>
        <grouping val="standard"/>
        <ser>
          <idx val="0"/>
          <order val="0"/>
          <tx>
            <strRef>
              <f>'_ChartData'!B51</f>
            </strRef>
          </tx>
          <spPr>
            <a:ln xmlns:a="http://schemas.openxmlformats.org/drawingml/2006/main">
              <a:solidFill>
                <a:srgbClr val="3b82f6"/>
              </a:solidFill>
              <a:prstDash val="solid"/>
            </a:ln>
          </spPr>
          <marker>
            <symbol val="none"/>
            <spPr>
              <a:ln xmlns:a="http://schemas.openxmlformats.org/drawingml/2006/main">
                <a:prstDash val="solid"/>
              </a:ln>
            </spPr>
          </marker>
          <cat>
            <numRef>
              <f>'_ChartData'!$A$52:$A$67</f>
            </numRef>
          </cat>
          <val>
            <numRef>
              <f>'_ChartData'!$B$52:$B$67</f>
            </numRef>
          </val>
        </ser>
        <ser>
          <idx val="1"/>
          <order val="1"/>
          <tx>
            <strRef>
              <f>'_ChartData'!C51</f>
            </strRef>
          </tx>
          <spPr>
            <a:ln xmlns:a="http://schemas.openxmlformats.org/drawingml/2006/main">
              <a:solidFill>
                <a:srgbClr val="ef4444"/>
              </a:solidFill>
              <a:prstDash val="dash"/>
            </a:ln>
          </spPr>
          <marker>
            <symbol val="none"/>
            <spPr>
              <a:ln xmlns:a="http://schemas.openxmlformats.org/drawingml/2006/main">
                <a:prstDash val="solid"/>
              </a:ln>
            </spPr>
          </marker>
          <cat>
            <numRef>
              <f>'_ChartData'!$A$52:$A$67</f>
            </numRef>
          </cat>
          <val>
            <numRef>
              <f>'_ChartData'!$C$52:$C$67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Changes by Type</a:t>
            </a:r>
          </a:p>
        </rich>
      </tx>
    </title>
    <plotArea>
      <pieChart>
        <varyColors val="1"/>
        <ser>
          <idx val="0"/>
          <order val="0"/>
          <tx>
            <strRef>
              <f>'_ChartData'!B69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'_ChartData'!$A$70:$A$72</f>
            </numRef>
          </cat>
          <val>
            <numRef>
              <f>'_ChartData'!$B$70:$B$72</f>
            </numRef>
          </val>
        </ser>
        <dLbls>
          <showVal val="0"/>
          <showCatName val="1"/>
          <showPercent val="1"/>
        </dLbls>
        <firstSliceAng val="0"/>
      </pieChart>
    </plotArea>
    <legend>
      <legendPos val="b"/>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Change Success Rate Trend</a:t>
            </a:r>
          </a:p>
        </rich>
      </tx>
    </title>
    <plotArea>
      <lineChart>
        <grouping val="standard"/>
        <ser>
          <idx val="0"/>
          <order val="0"/>
          <tx>
            <strRef>
              <f>'_ChartData'!B74</f>
            </strRef>
          </tx>
          <spPr>
            <a:ln xmlns:a="http://schemas.openxmlformats.org/drawingml/2006/main">
              <a:solidFill>
                <a:srgbClr val="22c55e"/>
              </a:solidFill>
              <a:prstDash val="solid"/>
            </a:ln>
          </spPr>
          <marker>
            <symbol val="none"/>
            <spPr>
              <a:ln xmlns:a="http://schemas.openxmlformats.org/drawingml/2006/main">
                <a:prstDash val="solid"/>
              </a:ln>
            </spPr>
          </marker>
          <cat>
            <numRef>
              <f>'_ChartData'!$A$75:$A$90</f>
            </numRef>
          </cat>
          <val>
            <numRef>
              <f>'_ChartData'!$B$75:$B$90</f>
            </numRef>
          </val>
        </ser>
        <ser>
          <idx val="1"/>
          <order val="1"/>
          <tx>
            <strRef>
              <f>'_ChartData'!C74</f>
            </strRef>
          </tx>
          <spPr>
            <a:ln xmlns:a="http://schemas.openxmlformats.org/drawingml/2006/main">
              <a:solidFill>
                <a:srgbClr val="ef4444"/>
              </a:solidFill>
              <a:prstDash val="dash"/>
            </a:ln>
          </spPr>
          <marker>
            <symbol val="none"/>
            <spPr>
              <a:ln xmlns:a="http://schemas.openxmlformats.org/drawingml/2006/main">
                <a:prstDash val="solid"/>
              </a:ln>
            </spPr>
          </marker>
          <cat>
            <numRef>
              <f>'_ChartData'!$A$75:$A$90</f>
            </numRef>
          </cat>
          <val>
            <numRef>
              <f>'_ChartData'!$C$75:$C$90</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Changes by Category</a:t>
            </a:r>
          </a:p>
        </rich>
      </tx>
    </title>
    <plotArea>
      <barChart>
        <barDir val="col"/>
        <grouping val="clustered"/>
        <ser>
          <idx val="0"/>
          <order val="0"/>
          <tx>
            <strRef>
              <f>'_ChartData'!B92</f>
            </strRef>
          </tx>
          <spPr>
            <a:solidFill xmlns:a="http://schemas.openxmlformats.org/drawingml/2006/main">
              <a:srgbClr val="3b82f6"/>
            </a:solidFill>
            <a:ln xmlns:a="http://schemas.openxmlformats.org/drawingml/2006/main">
              <a:prstDash val="solid"/>
            </a:ln>
          </spPr>
          <cat>
            <numRef>
              <f>'_ChartData'!$A$93:$A$97</f>
            </numRef>
          </cat>
          <val>
            <numRef>
              <f>'_ChartData'!$B$93:$B$97</f>
            </numRef>
          </val>
        </ser>
        <ser>
          <idx val="1"/>
          <order val="1"/>
          <tx>
            <strRef>
              <f>'_ChartData'!C92</f>
            </strRef>
          </tx>
          <spPr>
            <a:solidFill xmlns:a="http://schemas.openxmlformats.org/drawingml/2006/main">
              <a:srgbClr val="ef4444"/>
            </a:solidFill>
            <a:ln xmlns:a="http://schemas.openxmlformats.org/drawingml/2006/main">
              <a:prstDash val="solid"/>
            </a:ln>
          </spPr>
          <cat>
            <numRef>
              <f>'_ChartData'!$A$93:$A$97</f>
            </numRef>
          </cat>
          <val>
            <numRef>
              <f>'_ChartData'!$C$93:$C$97</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Requests by Type</a:t>
            </a:r>
          </a:p>
        </rich>
      </tx>
    </title>
    <plotArea>
      <pieChart>
        <varyColors val="1"/>
        <ser>
          <idx val="0"/>
          <order val="0"/>
          <tx>
            <strRef>
              <f>'_ChartData'!B99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'_ChartData'!$A$100:$A$103</f>
            </numRef>
          </cat>
          <val>
            <numRef>
              <f>'_ChartData'!$B$100:$B$103</f>
            </numRef>
          </val>
        </ser>
        <dLbls>
          <showVal val="0"/>
          <showCatName val="1"/>
          <showPercent val="1"/>
        </dLbls>
        <firstSliceAng val="0"/>
      </pieChart>
    </plotArea>
    <legend>
      <legendPos val="b"/>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CSAT Distribution</a:t>
            </a:r>
          </a:p>
        </rich>
      </tx>
    </title>
    <plotArea>
      <barChart>
        <barDir val="col"/>
        <grouping val="clustered"/>
        <ser>
          <idx val="0"/>
          <order val="0"/>
          <tx>
            <strRef>
              <f>'_ChartData'!B105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ab308"/>
              </a:solidFill>
              <a:ln xmlns:a="http://schemas.openxmlformats.org/drawingml/2006/main">
                <a:prstDash val="solid"/>
              </a:ln>
            </spPr>
          </dPt>
          <dPt>
            <idx val="4"/>
            <spPr>
              <a:solidFill xmlns:a="http://schemas.openxmlformats.org/drawingml/2006/main">
                <a:srgbClr val="ef4444"/>
              </a:solidFill>
              <a:ln xmlns:a="http://schemas.openxmlformats.org/drawingml/2006/main">
                <a:prstDash val="solid"/>
              </a:ln>
            </spPr>
          </dPt>
          <cat>
            <numRef>
              <f>'_ChartData'!$A$106:$A$110</f>
            </numRef>
          </cat>
          <val>
            <numRef>
              <f>'_ChartData'!$B$106:$B$110</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Rating</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Monthly Request Trend</a:t>
            </a:r>
          </a:p>
        </rich>
      </tx>
    </title>
    <plotArea>
      <barChart>
        <barDir val="col"/>
        <grouping val="clustered"/>
        <ser>
          <idx val="0"/>
          <order val="0"/>
          <tx>
            <strRef>
              <f>'_ChartData'!B112</f>
            </strRef>
          </tx>
          <spPr>
            <a:solidFill xmlns:a="http://schemas.openxmlformats.org/drawingml/2006/main">
              <a:srgbClr val="3b82f6"/>
            </a:solidFill>
            <a:ln xmlns:a="http://schemas.openxmlformats.org/drawingml/2006/main">
              <a:prstDash val="solid"/>
            </a:ln>
          </spPr>
          <cat>
            <numRef>
              <f>'_ChartData'!$A$113:$A$128</f>
            </numRef>
          </cat>
          <val>
            <numRef>
              <f>'_ChartData'!$B$113:$B$128</f>
            </numRef>
          </val>
        </ser>
        <dLbls>
          <showVal val="1"/>
          <showCatName val="0"/>
          <showPercent val="0"/>
        </dLbls>
        <gapWidth val="150"/>
        <axId val="10"/>
        <axId val="100"/>
      </barChart>
      <lineChart>
        <grouping val="standard"/>
        <ser>
          <idx val="1"/>
          <order val="1"/>
          <tx>
            <strRef>
              <f>'_ChartData'!C112</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'_ChartData'!$C$113:$C$128</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Volume</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CSAT</a:t>
                </a:r>
              </a:p>
            </rich>
          </tx>
        </title>
        <majorTickMark val="none"/>
        <minorTickMark val="none"/>
        <crossAx val="10"/>
      </valAx>
    </plotArea>
    <legend>
      <legendPos val="b"/>
    </legend>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Fulfillment Time by Type (hours)</a:t>
            </a:r>
          </a:p>
        </rich>
      </tx>
    </title>
    <plotArea>
      <barChart>
        <barDir val="col"/>
        <grouping val="clustered"/>
        <ser>
          <idx val="0"/>
          <order val="0"/>
          <tx>
            <strRef>
              <f>'_ChartData'!B130</f>
            </strRef>
          </tx>
          <spPr>
            <a:solidFill xmlns:a="http://schemas.openxmlformats.org/drawingml/2006/main">
              <a:srgbClr val="22c55e"/>
            </a:solidFill>
            <a:ln xmlns:a="http://schemas.openxmlformats.org/drawingml/2006/main">
              <a:prstDash val="solid"/>
            </a:ln>
          </spPr>
          <cat>
            <numRef>
              <f>'_ChartData'!$A$131:$A$134</f>
            </numRef>
          </cat>
          <val>
            <numRef>
              <f>'_ChartData'!$B$131:$B$134</f>
            </numRef>
          </val>
        </ser>
        <ser>
          <idx val="1"/>
          <order val="1"/>
          <tx>
            <strRef>
              <f>'_ChartData'!C130</f>
            </strRef>
          </tx>
          <spPr>
            <a:solidFill xmlns:a="http://schemas.openxmlformats.org/drawingml/2006/main">
              <a:srgbClr val="3b82f6"/>
            </a:solidFill>
            <a:ln xmlns:a="http://schemas.openxmlformats.org/drawingml/2006/main">
              <a:prstDash val="solid"/>
            </a:ln>
          </spPr>
          <cat>
            <numRef>
              <f>'_ChartData'!$A$131:$A$134</f>
            </numRef>
          </cat>
          <val>
            <numRef>
              <f>'_ChartData'!$C$131:$C$134</f>
            </numRef>
          </val>
        </ser>
        <ser>
          <idx val="2"/>
          <order val="2"/>
          <tx>
            <strRef>
              <f>'_ChartData'!D130</f>
            </strRef>
          </tx>
          <spPr>
            <a:solidFill xmlns:a="http://schemas.openxmlformats.org/drawingml/2006/main">
              <a:srgbClr val="ef4444"/>
            </a:solidFill>
            <a:ln xmlns:a="http://schemas.openxmlformats.org/drawingml/2006/main">
              <a:prstDash val="solid"/>
            </a:ln>
          </spPr>
          <cat>
            <numRef>
              <f>'_ChartData'!$A$131:$A$134</f>
            </numRef>
          </cat>
          <val>
            <numRef>
              <f>'_ChartData'!$D$131:$D$134</f>
            </numRef>
          </val>
        </ser>
        <dLbls>
          <showVal val="1"/>
          <showCatName val="0"/>
          <showPercent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Problem Status Funnel</a:t>
            </a:r>
          </a:p>
        </rich>
      </tx>
    </title>
    <plotArea>
      <barChart>
        <barDir val="bar"/>
        <grouping val="clustered"/>
        <ser>
          <idx val="0"/>
          <order val="0"/>
          <tx>
            <strRef>
              <f>'_ChartData'!B136</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'_ChartData'!$A$137:$A$141</f>
            </numRef>
          </cat>
          <val>
            <numRef>
              <f>'_ChartData'!$B$137:$B$141</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Root Cause Distribution</a:t>
            </a:r>
          </a:p>
        </rich>
      </tx>
    </title>
    <plotArea>
      <pieChart>
        <varyColors val="1"/>
        <ser>
          <idx val="0"/>
          <order val="0"/>
          <tx>
            <strRef>
              <f>'_ChartData'!B143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'_ChartData'!$A$144:$A$148</f>
            </numRef>
          </cat>
          <val>
            <numRef>
              <f>'_ChartData'!$B$144:$B$148</f>
            </numRef>
          </val>
        </ser>
        <dLbls>
          <showVal val="0"/>
          <showCatName val="1"/>
          <showPercent val="1"/>
        </dLbls>
        <firstSliceAng val="0"/>
      </pieChart>
    </plotArea>
    <legend>
      <legendPos val="b"/>
    </legend>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Monthly Problem Trend</a:t>
            </a:r>
          </a:p>
        </rich>
      </tx>
    </title>
    <plotArea>
      <barChart>
        <barDir val="col"/>
        <grouping val="clustered"/>
        <ser>
          <idx val="0"/>
          <order val="0"/>
          <tx>
            <strRef>
              <f>'_ChartData'!B150</f>
            </strRef>
          </tx>
          <spPr>
            <a:solidFill xmlns:a="http://schemas.openxmlformats.org/drawingml/2006/main">
              <a:srgbClr val="3b82f6"/>
            </a:solidFill>
            <a:ln xmlns:a="http://schemas.openxmlformats.org/drawingml/2006/main">
              <a:prstDash val="solid"/>
            </a:ln>
          </spPr>
          <cat>
            <numRef>
              <f>'_ChartData'!$A$151:$A$166</f>
            </numRef>
          </cat>
          <val>
            <numRef>
              <f>'_ChartData'!$B$151:$B$166</f>
            </numRef>
          </val>
        </ser>
        <dLbls>
          <showVal val="1"/>
          <showCatName val="0"/>
          <showPercent val="0"/>
        </dLbls>
        <gapWidth val="150"/>
        <axId val="10"/>
        <axId val="100"/>
      </barChart>
      <lineChart>
        <grouping val="standard"/>
        <ser>
          <idx val="1"/>
          <order val="1"/>
          <tx>
            <strRef>
              <f>'_ChartData'!C150</f>
            </strRef>
          </tx>
          <spPr>
            <a:ln xmlns:a="http://schemas.openxmlformats.org/drawingml/2006/main">
              <a:solidFill>
                <a:srgbClr val="ef4444"/>
              </a:solidFill>
              <a:prstDash val="solid"/>
            </a:ln>
          </spPr>
          <marker>
            <symbol val="none"/>
            <spPr>
              <a:ln xmlns:a="http://schemas.openxmlformats.org/drawingml/2006/main">
                <a:prstDash val="solid"/>
              </a:ln>
            </spPr>
          </marker>
          <val>
            <numRef>
              <f>'_ChartData'!$C$151:$C$166</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Cumulative</a:t>
                </a:r>
              </a:p>
            </rich>
          </tx>
        </title>
        <majorTickMark val="none"/>
        <minorTickMark val="none"/>
        <crossAx val="10"/>
      </valAx>
    </plotArea>
    <legend>
      <legendPos val="b"/>
    </legend>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Cross-Process Flow</a:t>
            </a:r>
          </a:p>
        </rich>
      </tx>
    </title>
    <plotArea>
      <barChart>
        <barDir val="col"/>
        <grouping val="clustered"/>
        <ser>
          <idx val="0"/>
          <order val="0"/>
          <tx>
            <strRef>
              <f>'_ChartData'!B168</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cat>
            <numRef>
              <f>'_ChartData'!$A$169</f>
            </numRef>
          </cat>
          <val>
            <numRef>
              <f>'_ChartData'!$B$169</f>
            </numRef>
          </val>
        </ser>
        <dLbls>
          <showVal val="1"/>
          <showCatName val="0"/>
          <showPercent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Personnel Workload</a:t>
            </a:r>
          </a:p>
        </rich>
      </tx>
    </title>
    <plotArea>
      <barChart>
        <barDir val="bar"/>
        <grouping val="clustered"/>
        <ser>
          <idx val="0"/>
          <order val="0"/>
          <tx>
            <strRef>
              <f>'_ChartData'!B171</f>
            </strRef>
          </tx>
          <spPr>
            <a:solidFill xmlns:a="http://schemas.openxmlformats.org/drawingml/2006/main">
              <a:srgbClr val="3b82f6"/>
            </a:solidFill>
            <a:ln xmlns:a="http://schemas.openxmlformats.org/drawingml/2006/main">
              <a:prstDash val="solid"/>
            </a:ln>
          </spPr>
          <cat>
            <numRef>
              <f>'_ChartData'!$A$172:$A$186</f>
            </numRef>
          </cat>
          <val>
            <numRef>
              <f>'_ChartData'!$B$172:$B$186</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Person</a:t>
                </a:r>
              </a:p>
            </rich>
          </tx>
        </title>
        <majorTickMark val="none"/>
        <minorTickMark val="none"/>
        <crossAx val="10"/>
      </valAx>
    </plotArea>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Top 10 Personnel</a:t>
            </a:r>
          </a:p>
        </rich>
      </tx>
    </title>
    <plotArea>
      <barChart>
        <barDir val="bar"/>
        <grouping val="clustered"/>
        <ser>
          <idx val="0"/>
          <order val="0"/>
          <tx>
            <strRef>
              <f>'_ChartData'!B188</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'_ChartData'!$A$189:$A$198</f>
            </numRef>
          </cat>
          <val>
            <numRef>
              <f>'_ChartData'!$B$189:$B$198</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Person</a:t>
                </a:r>
              </a:p>
            </rich>
          </tx>
        </title>
        <majorTickMark val="none"/>
        <minorTickMark val="none"/>
        <crossAx val="10"/>
      </valAx>
    </plotArea>
    <legend>
      <legendPos val="b"/>
    </legend>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Four Process Trend</a:t>
            </a:r>
          </a:p>
        </rich>
      </tx>
    </title>
    <plotArea>
      <lineChart>
        <grouping val="standard"/>
        <ser>
          <idx val="0"/>
          <order val="0"/>
          <tx>
            <strRef>
              <f>'_ChartData'!B200</f>
            </strRef>
          </tx>
          <spPr>
            <a:ln xmlns:a="http://schemas.openxmlformats.org/drawingml/2006/main">
              <a:solidFill>
                <a:srgbClr val="3b82f6"/>
              </a:solidFill>
              <a:prstDash val="solid"/>
            </a:ln>
          </spPr>
          <marker>
            <symbol val="none"/>
            <spPr>
              <a:ln xmlns:a="http://schemas.openxmlformats.org/drawingml/2006/main">
                <a:prstDash val="solid"/>
              </a:ln>
            </spPr>
          </marker>
          <cat>
            <numRef>
              <f>'_ChartData'!$A$201:$A$216</f>
            </numRef>
          </cat>
          <val>
            <numRef>
              <f>'_ChartData'!$B$201:$B$216</f>
            </numRef>
          </val>
        </ser>
        <ser>
          <idx val="1"/>
          <order val="1"/>
          <tx>
            <strRef>
              <f>'_ChartData'!C200</f>
            </strRef>
          </tx>
          <spPr>
            <a:ln xmlns:a="http://schemas.openxmlformats.org/drawingml/2006/main">
              <a:solidFill>
                <a:srgbClr val="22c55e"/>
              </a:solidFill>
              <a:prstDash val="solid"/>
            </a:ln>
          </spPr>
          <marker>
            <symbol val="none"/>
            <spPr>
              <a:ln xmlns:a="http://schemas.openxmlformats.org/drawingml/2006/main">
                <a:prstDash val="solid"/>
              </a:ln>
            </spPr>
          </marker>
          <cat>
            <numRef>
              <f>'_ChartData'!$A$201:$A$216</f>
            </numRef>
          </cat>
          <val>
            <numRef>
              <f>'_ChartData'!$C$201:$C$216</f>
            </numRef>
          </val>
        </ser>
        <ser>
          <idx val="2"/>
          <order val="2"/>
          <tx>
            <strRef>
              <f>'_ChartData'!D200</f>
            </strRef>
          </tx>
          <spPr>
            <a:ln xmlns:a="http://schemas.openxmlformats.org/drawingml/2006/main">
              <a:solidFill>
                <a:srgbClr val="eab308"/>
              </a:solidFill>
              <a:prstDash val="solid"/>
            </a:ln>
          </spPr>
          <marker>
            <symbol val="none"/>
            <spPr>
              <a:ln xmlns:a="http://schemas.openxmlformats.org/drawingml/2006/main">
                <a:prstDash val="solid"/>
              </a:ln>
            </spPr>
          </marker>
          <cat>
            <numRef>
              <f>'_ChartData'!$A$201:$A$216</f>
            </numRef>
          </cat>
          <val>
            <numRef>
              <f>'_ChartData'!$D$201:$D$216</f>
            </numRef>
          </val>
        </ser>
        <ser>
          <idx val="3"/>
          <order val="3"/>
          <tx>
            <strRef>
              <f>'_ChartData'!E200</f>
            </strRef>
          </tx>
          <spPr>
            <a:ln xmlns:a="http://schemas.openxmlformats.org/drawingml/2006/main">
              <a:solidFill>
                <a:srgbClr val="ef4444"/>
              </a:solidFill>
              <a:prstDash val="solid"/>
            </a:ln>
          </spPr>
          <marker>
            <symbol val="none"/>
            <spPr>
              <a:ln xmlns:a="http://schemas.openxmlformats.org/drawingml/2006/main">
                <a:prstDash val="solid"/>
              </a:ln>
            </spPr>
          </marker>
          <cat>
            <numRef>
              <f>'_ChartData'!$A$201:$A$216</f>
            </numRef>
          </cat>
          <val>
            <numRef>
              <f>'_ChartData'!$E$201:$E$216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22.xml><?xml version="1.0" encoding="utf-8"?>
<chartSpace xmlns="http://schemas.openxmlformats.org/drawingml/2006/chart">
  <style val="2"/>
  <chart>
    <title>
      <tx>
        <rich>
          <a:bodyPr xmlns:a="http://schemas.openxmlformats.org/drawingml/2006/main"/>
          <a:p xmlns:a="http://schemas.openxmlformats.org/drawingml/2006/main">
            <a:pPr>
              <a:defRPr/>
            </a:pPr>
            <a:r>
              <a:t>Incidents by Day of Week</a:t>
            </a:r>
          </a:p>
        </rich>
      </tx>
    </title>
    <plotArea>
      <barChart>
        <barDir val="col"/>
        <grouping val="clustered"/>
        <ser>
          <idx val="0"/>
          <order val="0"/>
          <tx>
            <strRef>
              <f>'_ChartData'!B218</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cat>
            <numRef>
              <f>'_ChartData'!$A$219:$A$225</f>
            </numRef>
          </cat>
          <val>
            <numRef>
              <f>'_ChartData'!$B$219:$B$225</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23.xml><?xml version="1.0" encoding="utf-8"?>
<chartSpace xmlns="http://schemas.openxmlformats.org/drawingml/2006/chart">
  <style val="2"/>
  <chart>
    <title>
      <tx>
        <rich>
          <a:bodyPr xmlns:a="http://schemas.openxmlformats.org/drawingml/2006/main"/>
          <a:p xmlns:a="http://schemas.openxmlformats.org/drawingml/2006/main">
            <a:pPr>
              <a:defRPr/>
            </a:pPr>
            <a:r>
              <a:t>Actions by Priority</a:t>
            </a:r>
          </a:p>
        </rich>
      </tx>
    </title>
    <plotArea>
      <pieChart>
        <varyColors val="1"/>
        <ser>
          <idx val="0"/>
          <order val="0"/>
          <tx>
            <strRef>
              <f>'_ChartData'!B227</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'_ChartData'!$A$228:$A$230</f>
            </numRef>
          </cat>
          <val>
            <numRef>
              <f>'_ChartData'!$B$228:$B$230</f>
            </numRef>
          </val>
        </ser>
        <dLbls>
          <showVal val="0"/>
          <showCatName val="1"/>
          <showPercent val="1"/>
        </dLbls>
        <firstSliceAng val="0"/>
      </pieChart>
    </plotArea>
    <legend>
      <legendPos val="b"/>
    </legend>
    <plotVisOnly val="1"/>
    <dispBlanksAs val="gap"/>
  </chart>
</chartSpace>
</file>

<file path=xl/charts/chart24.xml><?xml version="1.0" encoding="utf-8"?>
<chartSpace xmlns="http://schemas.openxmlformats.org/drawingml/2006/chart">
  <style val="2"/>
  <chart>
    <title>
      <tx>
        <rich>
          <a:bodyPr xmlns:a="http://schemas.openxmlformats.org/drawingml/2006/main"/>
          <a:p xmlns:a="http://schemas.openxmlformats.org/drawingml/2006/main">
            <a:pPr>
              <a:defRPr/>
            </a:pPr>
            <a:r>
              <a:t>Actions by Process</a:t>
            </a:r>
          </a:p>
        </rich>
      </tx>
    </title>
    <plotArea>
      <barChart>
        <barDir val="col"/>
        <grouping val="clustered"/>
        <ser>
          <idx val="0"/>
          <order val="0"/>
          <tx>
            <strRef>
              <f>'_ChartData'!B232</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'_ChartData'!$A$233:$A$235</f>
            </numRef>
          </cat>
          <val>
            <numRef>
              <f>'_ChartData'!$B$233:$B$235</f>
            </numRef>
          </val>
        </ser>
        <dLbls>
          <showVal val="1"/>
          <showCat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Process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 Type="http://schemas.openxmlformats.org/officeDocument/2006/relationships/chart" Target="/xl/charts/chart10.xml" Id="rId3"/></Relationships>
</file>

<file path=xl/drawings/_rels/drawing5.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chart" Target="/xl/charts/chart13.xml" Id="rId3"/><Relationship Type="http://schemas.openxmlformats.org/officeDocument/2006/relationships/chart" Target="/xl/charts/chart14.xml" Id="rId4"/></Relationships>
</file>

<file path=xl/drawings/_rels/drawing6.xml.rels><Relationships xmlns="http://schemas.openxmlformats.org/package/2006/relationships"><Relationship Type="http://schemas.openxmlformats.org/officeDocument/2006/relationships/chart" Target="/xl/charts/chart15.xml" Id="rId1"/><Relationship Type="http://schemas.openxmlformats.org/officeDocument/2006/relationships/chart" Target="/xl/charts/chart16.xml" Id="rId2"/><Relationship Type="http://schemas.openxmlformats.org/officeDocument/2006/relationships/chart" Target="/xl/charts/chart17.xml" Id="rId3"/></Relationships>
</file>

<file path=xl/drawings/_rels/drawing7.xml.rels><Relationships xmlns="http://schemas.openxmlformats.org/package/2006/relationships"><Relationship Type="http://schemas.openxmlformats.org/officeDocument/2006/relationships/chart" Target="/xl/charts/chart18.xml" Id="rId1"/></Relationships>
</file>

<file path=xl/drawings/_rels/drawing8.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s>
</file>

<file path=xl/drawings/_rels/drawing9.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_rels/drawing10.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s>
</file>

<file path=xl/drawings/drawing1.xml><?xml version="1.0" encoding="utf-8"?>
<wsDr xmlns="http://schemas.openxmlformats.org/drawingml/2006/spreadsheetDrawing">
  <oneCellAnchor>
    <from>
      <col>0</col>
      <colOff>0</colOff>
      <row>28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89</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0</col>
      <colOff>0</colOff>
      <row>40</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0</col>
      <colOff>0</colOff>
      <row>20</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74</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21</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75</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6.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18</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62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89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9.xml><?xml version="1.0" encoding="utf-8"?>
<wsDr xmlns="http://schemas.openxmlformats.org/drawingml/2006/spreadsheetDrawing">
  <oneCellAnchor>
    <from>
      <col>0</col>
      <colOff>0</colOff>
      <row>42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Summary!A1" TargetMode="External" Id="rId1"/><Relationship Type="http://schemas.openxmlformats.org/officeDocument/2006/relationships/hyperlink" Target="#Incident Analysis!A1" TargetMode="External" Id="rId2"/><Relationship Type="http://schemas.openxmlformats.org/officeDocument/2006/relationships/hyperlink" Target="#Incident SLA!A1" TargetMode="External" Id="rId3"/><Relationship Type="http://schemas.openxmlformats.org/officeDocument/2006/relationships/hyperlink" Target="#Change Analysis!A1" TargetMode="External" Id="rId4"/><Relationship Type="http://schemas.openxmlformats.org/officeDocument/2006/relationships/hyperlink" Target="#Request Analysis!A1" TargetMode="External" Id="rId5"/><Relationship Type="http://schemas.openxmlformats.org/officeDocument/2006/relationships/hyperlink" Target="#Problem Analysis!A1" TargetMode="External" Id="rId6"/><Relationship Type="http://schemas.openxmlformats.org/officeDocument/2006/relationships/hyperlink" Target="#Cross-Process!A1" TargetMode="External" Id="rId7"/><Relationship Type="http://schemas.openxmlformats.org/officeDocument/2006/relationships/hyperlink" Target="#Personnel &amp; Efficiency!A1" TargetMode="External" Id="rId8"/><Relationship Type="http://schemas.openxmlformats.org/officeDocument/2006/relationships/hyperlink" Target="#Time Analysis!A1" TargetMode="External" Id="rId9"/><Relationship Type="http://schemas.openxmlformats.org/officeDocument/2006/relationships/hyperlink" Target="#Action Plan!A1" TargetMode="External" Id="rId10"/><Relationship Type="http://schemas.openxmlformats.org/officeDocument/2006/relationships/drawing" Target="/xl/drawings/drawing1.xml" Id="rId1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99"/>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Executive Summary</t>
        </is>
      </c>
    </row>
    <row r="2" ht="22" customHeight="1">
      <c r="A2" s="2" t="inlineStr">
        <is>
          <t>2024-04-19 — 2025-07-06</t>
        </is>
      </c>
    </row>
    <row r="3" ht="10" customHeight="1"/>
    <row r="4" ht="26" customHeight="1">
      <c r="A4" s="3" t="inlineStr">
        <is>
          <t>KPI Summary</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At Risk</t>
        </is>
      </c>
    </row>
    <row r="8" ht="18" customHeight="1">
      <c r="A8" s="5" t="inlineStr">
        <is>
          <t>MTTR</t>
        </is>
      </c>
      <c r="B8" s="5" t="inlineStr">
        <is>
          <t>29.4h</t>
        </is>
      </c>
      <c r="C8" s="5" t="inlineStr"/>
    </row>
    <row r="9" ht="18" customHeight="1">
      <c r="A9" s="6" t="inlineStr">
        <is>
          <t>Change Success Rate</t>
        </is>
      </c>
      <c r="B9" s="6" t="inlineStr">
        <is>
          <t>84.0%</t>
        </is>
      </c>
      <c r="C9" s="6" t="inlineStr">
        <is>
          <t>Fair</t>
        </is>
      </c>
    </row>
    <row r="10" ht="18" customHeight="1">
      <c r="A10" s="5" t="inlineStr">
        <is>
          <t>Emergency Change Rate</t>
        </is>
      </c>
      <c r="B10" s="5" t="inlineStr">
        <is>
          <t>0.0%</t>
        </is>
      </c>
      <c r="C10" s="5" t="inlineStr"/>
    </row>
    <row r="11" ht="18" customHeight="1">
      <c r="A11" s="6" t="inlineStr">
        <is>
          <t>Request Fulfillment</t>
        </is>
      </c>
      <c r="B11" s="6" t="inlineStr">
        <is>
          <t>0.0%</t>
        </is>
      </c>
      <c r="C11" s="6" t="inlineStr">
        <is>
          <t>At Risk</t>
        </is>
      </c>
    </row>
    <row r="12" ht="18" customHeight="1">
      <c r="A12" s="5" t="inlineStr">
        <is>
          <t>CSAT</t>
        </is>
      </c>
      <c r="B12" s="5" t="inlineStr">
        <is>
          <t>3.61</t>
        </is>
      </c>
      <c r="C12" s="5" t="inlineStr"/>
    </row>
    <row r="13" ht="18" customHeight="1">
      <c r="A13" s="6" t="inlineStr">
        <is>
          <t>Problem Closure Rate</t>
        </is>
      </c>
      <c r="B13" s="6" t="inlineStr">
        <is>
          <t>48.0%</t>
        </is>
      </c>
      <c r="C13" s="6" t="inlineStr">
        <is>
          <t>At Risk</t>
        </is>
      </c>
    </row>
    <row r="14" ht="10" customHeight="1"/>
    <row r="15" ht="26" customHeight="1">
      <c r="A15" s="3" t="inlineStr">
        <is>
          <t>Contents</t>
        </is>
      </c>
    </row>
    <row r="16">
      <c r="A16" s="7" t="inlineStr">
        <is>
          <t>Executive Summary</t>
        </is>
      </c>
    </row>
    <row r="17">
      <c r="A17" s="7" t="inlineStr">
        <is>
          <t>Incident Analysis</t>
        </is>
      </c>
    </row>
    <row r="18">
      <c r="A18" s="7" t="inlineStr">
        <is>
          <t>Incident SLA</t>
        </is>
      </c>
    </row>
    <row r="19">
      <c r="A19" s="7" t="inlineStr">
        <is>
          <t>Change Analysis</t>
        </is>
      </c>
    </row>
    <row r="20">
      <c r="A20" s="7" t="inlineStr">
        <is>
          <t>Request Analysis</t>
        </is>
      </c>
    </row>
    <row r="21">
      <c r="A21" s="7" t="inlineStr">
        <is>
          <t>Problem Analysis</t>
        </is>
      </c>
    </row>
    <row r="22">
      <c r="A22" s="7" t="inlineStr">
        <is>
          <t>Cross-Process</t>
        </is>
      </c>
    </row>
    <row r="23">
      <c r="A23" s="7" t="inlineStr">
        <is>
          <t>Personnel &amp; Efficiency</t>
        </is>
      </c>
    </row>
    <row r="24">
      <c r="A24" s="7" t="inlineStr">
        <is>
          <t>Time Analysis</t>
        </is>
      </c>
    </row>
    <row r="25">
      <c r="A25" s="7" t="inlineStr">
        <is>
          <t>Action Plan</t>
        </is>
      </c>
    </row>
    <row r="27" ht="26" customHeight="1">
      <c r="A27" s="3" t="inlineStr">
        <is>
          <t>Visual Analysis</t>
        </is>
      </c>
    </row>
    <row r="28" ht="16" customHeight="1">
      <c r="A28" s="8" t="inlineStr">
        <is>
          <t>Overall health score gauge</t>
        </is>
      </c>
    </row>
    <row r="48" ht="16" customHeight="1">
      <c r="A48" s="8" t="inlineStr">
        <is>
          <t>Process health radar across four ITIL processes</t>
        </is>
      </c>
    </row>
    <row r="75" ht="26" customHeight="1">
      <c r="A75" s="3" t="inlineStr">
        <is>
          <t>Top Risks</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Insight</t>
        </is>
      </c>
    </row>
    <row r="85" ht="30" customHeight="1">
      <c r="A85" s="10" t="inlineStr">
        <is>
          <t>Based on the service health data, the overall assessment is that the service is critically unstable, with an extremely high incident volume severely degrading operational health. The most critical improvement recommendation is to implement an immediate incident triage and root cause analysis (RCA) program targeting the top 5 recurring incident patterns to reduce the total incident count by at least 50% within the next quarter.</t>
        </is>
      </c>
    </row>
    <row r="86" ht="6" customHeight="1"/>
    <row r="87" ht="30" customHeight="1">
      <c r="A87" s="11" t="inlineStr">
        <is>
          <t>📌 **Finding:** The service health score of 33/100 is critically low, driven by an exceptionally high volume of 8,977 incidents, which is orders of magnitude greater than the volume of changes (50), requests (50), and problems (50).</t>
        </is>
      </c>
    </row>
    <row r="88" ht="6" customHeight="1"/>
    <row r="89" ht="30" customHeight="1">
      <c r="A89" s="11" t="inlineStr">
        <is>
          <t>🔍 **Root Cause:** The data indicates a fundamental breakdown in proactive stability management. The extreme disparity between incidents (8,977) and formally tracked problems (50) suggests that less than 0.6% of incidents trigger a root cause analysis. This reactive "fire-fighting" mode overwhelms the system, preventing effective problem management and continuous improvement.</t>
        </is>
      </c>
    </row>
    <row r="90" ht="6" customHeight="1"/>
    <row r="91" ht="30" customHeight="1">
      <c r="A91" s="11" t="inlineStr">
        <is>
          <t>💡 **Recommendations:**</t>
        </is>
      </c>
    </row>
    <row r="92" ht="30" customHeight="1">
      <c r="A92" s="10" t="inlineStr">
        <is>
          <t>1.  **Implement Automated Incident Triage &amp; Major Incident Declaration:** Establish clear criteria and automation to classify incidents by severity and impact. Ensure all high-severity incidents automatically initiate a formal Problem Management process.</t>
        </is>
      </c>
    </row>
    <row r="93" ht="30" customHeight="1">
      <c r="A93" s="10" t="inlineStr">
        <is>
          <t>2.  **Launch a "Top 5" Reduction Initiative:** Dedicate a cross-functional team to perform deep-dive RCAs on the 5 identified top risks and the most frequent incident types, implementing permanent fixes within 90 days.</t>
        </is>
      </c>
    </row>
    <row r="94" ht="30" customHeight="1">
      <c r="A94" s="10" t="inlineStr">
        <is>
          <t>3.  **Enhance Change Risk Assessment:** Review the 100% success rate of the 50 changes. Implement pre- and post-implementation reviews to ensure changes are not a primary, but unmeasured, contributor to the incident volume.</t>
        </is>
      </c>
    </row>
    <row r="95" ht="6" customHeight="1"/>
    <row r="96" ht="30" customHeight="1">
      <c r="A96" s="11" t="inlineStr">
        <is>
          <t>📈 **Expected Impact:** Implementing these measures should reduce the total incident volume by 50-60% (to approximately 3,500-4,500) within the next quarter, directly lifting the Health Score by 25-30 points into a more stable "Needs Improvement" range (58-63/100).</t>
        </is>
      </c>
    </row>
    <row r="97" ht="10" customHeight="1"/>
    <row r="98" ht="10" customHeight="1"/>
    <row r="99">
      <c r="A99" s="12" t="inlineStr">
        <is>
          <t>Generated by Customer Cross-Overview Report • 2026-01-30 23:00</t>
        </is>
      </c>
    </row>
  </sheetData>
  <mergeCells count="18">
    <mergeCell ref="A85:J85"/>
    <mergeCell ref="A1:J1"/>
    <mergeCell ref="A75:J75"/>
    <mergeCell ref="A84:J84"/>
    <mergeCell ref="A93:J93"/>
    <mergeCell ref="A89:J89"/>
    <mergeCell ref="A94:J94"/>
    <mergeCell ref="A99:J99"/>
    <mergeCell ref="A27:J27"/>
    <mergeCell ref="A92:J92"/>
    <mergeCell ref="A91:J91"/>
    <mergeCell ref="A15:J15"/>
    <mergeCell ref="A4:J4"/>
    <mergeCell ref="A48:J48"/>
    <mergeCell ref="A87:J87"/>
    <mergeCell ref="A96:J96"/>
    <mergeCell ref="A2:J2"/>
    <mergeCell ref="A28:J28"/>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E235"/>
  <sheetViews>
    <sheetView workbookViewId="0">
      <selection activeCell="A1" sqref="A1"/>
    </sheetView>
  </sheetViews>
  <sheetFormatPr baseColWidth="8" defaultRowHeight="15"/>
  <sheetData>
    <row r="1">
      <c r="A1" t="inlineStr">
        <is>
          <t>Segment</t>
        </is>
      </c>
      <c r="B1" t="inlineStr">
        <is>
          <t>Value</t>
        </is>
      </c>
    </row>
    <row r="2">
      <c r="A2" t="inlineStr">
        <is>
          <t>Score</t>
        </is>
      </c>
      <c r="B2" t="n">
        <v>33</v>
      </c>
    </row>
    <row r="3">
      <c r="A3" t="inlineStr">
        <is>
          <t>Remaining</t>
        </is>
      </c>
      <c r="B3" t="n">
        <v>67</v>
      </c>
    </row>
    <row r="5">
      <c r="A5" t="inlineStr">
        <is>
          <t>KPI</t>
        </is>
      </c>
      <c r="B5" t="inlineStr">
        <is>
          <t>Score</t>
        </is>
      </c>
    </row>
    <row r="6">
      <c r="A6" t="inlineStr">
        <is>
          <t>Incidents (SLA)</t>
        </is>
      </c>
      <c r="B6" t="n">
        <v>64.2</v>
      </c>
    </row>
    <row r="7">
      <c r="A7" t="inlineStr">
        <is>
          <t>Changes (Success)</t>
        </is>
      </c>
      <c r="B7" t="n">
        <v>84</v>
      </c>
    </row>
    <row r="8">
      <c r="A8" t="inlineStr">
        <is>
          <t>Requests (Fulfill)</t>
        </is>
      </c>
      <c r="B8" t="n">
        <v>0</v>
      </c>
    </row>
    <row r="9">
      <c r="A9" t="inlineStr">
        <is>
          <t>Problems (Close)</t>
        </is>
      </c>
      <c r="B9" t="n">
        <v>48</v>
      </c>
    </row>
    <row r="11">
      <c r="A11" t="inlineStr">
        <is>
          <t>Month</t>
        </is>
      </c>
      <c r="B11" t="inlineStr">
        <is>
          <t>Count</t>
        </is>
      </c>
      <c r="C11" t="inlineStr">
        <is>
          <t>Completion %</t>
        </is>
      </c>
    </row>
    <row r="12">
      <c r="A12" t="inlineStr">
        <is>
          <t>2024-04</t>
        </is>
      </c>
      <c r="B12" t="n">
        <v>195</v>
      </c>
      <c r="C12" t="n">
        <v>46.2</v>
      </c>
    </row>
    <row r="13">
      <c r="A13" t="inlineStr">
        <is>
          <t>2024-05</t>
        </is>
      </c>
      <c r="B13" t="n">
        <v>725</v>
      </c>
      <c r="C13" t="n">
        <v>60.3</v>
      </c>
    </row>
    <row r="14">
      <c r="A14" t="inlineStr">
        <is>
          <t>2024-06</t>
        </is>
      </c>
      <c r="B14" t="n">
        <v>924</v>
      </c>
      <c r="C14" t="n">
        <v>62.9</v>
      </c>
    </row>
    <row r="15">
      <c r="A15" t="inlineStr">
        <is>
          <t>2024-07</t>
        </is>
      </c>
      <c r="B15" t="n">
        <v>1007</v>
      </c>
      <c r="C15" t="n">
        <v>64.3</v>
      </c>
    </row>
    <row r="16">
      <c r="A16" t="inlineStr">
        <is>
          <t>2024-08</t>
        </is>
      </c>
      <c r="B16" t="n">
        <v>712</v>
      </c>
      <c r="C16" t="n">
        <v>62.8</v>
      </c>
    </row>
    <row r="17">
      <c r="A17" t="inlineStr">
        <is>
          <t>2024-09</t>
        </is>
      </c>
      <c r="B17" t="n">
        <v>621</v>
      </c>
      <c r="C17" t="n">
        <v>74.59999999999999</v>
      </c>
    </row>
    <row r="18">
      <c r="A18" t="inlineStr">
        <is>
          <t>2024-10</t>
        </is>
      </c>
      <c r="B18" t="n">
        <v>542</v>
      </c>
      <c r="C18" t="n">
        <v>69.40000000000001</v>
      </c>
    </row>
    <row r="19">
      <c r="A19" t="inlineStr">
        <is>
          <t>2024-11</t>
        </is>
      </c>
      <c r="B19" t="n">
        <v>441</v>
      </c>
      <c r="C19" t="n">
        <v>65.8</v>
      </c>
    </row>
    <row r="20">
      <c r="A20" t="inlineStr">
        <is>
          <t>2024-12</t>
        </is>
      </c>
      <c r="B20" t="n">
        <v>432</v>
      </c>
      <c r="C20" t="n">
        <v>66.2</v>
      </c>
    </row>
    <row r="21">
      <c r="A21" t="inlineStr">
        <is>
          <t>2025-01</t>
        </is>
      </c>
      <c r="B21" t="n">
        <v>511</v>
      </c>
      <c r="C21" t="n">
        <v>65.90000000000001</v>
      </c>
    </row>
    <row r="22">
      <c r="A22" t="inlineStr">
        <is>
          <t>2025-02</t>
        </is>
      </c>
      <c r="B22" t="n">
        <v>410</v>
      </c>
      <c r="C22" t="n">
        <v>66.8</v>
      </c>
    </row>
    <row r="23">
      <c r="A23" t="inlineStr">
        <is>
          <t>2025-03</t>
        </is>
      </c>
      <c r="B23" t="n">
        <v>599</v>
      </c>
      <c r="C23" t="n">
        <v>66.09999999999999</v>
      </c>
    </row>
    <row r="24">
      <c r="A24" t="inlineStr">
        <is>
          <t>2025-04</t>
        </is>
      </c>
      <c r="B24" t="n">
        <v>491</v>
      </c>
      <c r="C24" t="n">
        <v>58.5</v>
      </c>
    </row>
    <row r="25">
      <c r="A25" t="inlineStr">
        <is>
          <t>2025-05</t>
        </is>
      </c>
      <c r="B25" t="n">
        <v>652</v>
      </c>
      <c r="C25" t="n">
        <v>59.4</v>
      </c>
    </row>
    <row r="26">
      <c r="A26" t="inlineStr">
        <is>
          <t>2025-06</t>
        </is>
      </c>
      <c r="B26" t="n">
        <v>641</v>
      </c>
      <c r="C26" t="n">
        <v>66.8</v>
      </c>
    </row>
    <row r="27">
      <c r="A27" t="inlineStr">
        <is>
          <t>2025-07</t>
        </is>
      </c>
      <c r="B27" t="n">
        <v>74</v>
      </c>
      <c r="C27" t="n">
        <v>50</v>
      </c>
    </row>
    <row r="29">
      <c r="A29" t="inlineStr">
        <is>
          <t>Priority</t>
        </is>
      </c>
      <c r="B29" t="inlineStr">
        <is>
          <t>Count</t>
        </is>
      </c>
    </row>
    <row r="30">
      <c r="A30" t="inlineStr">
        <is>
          <t>P4</t>
        </is>
      </c>
      <c r="B30" t="n">
        <v>4042</v>
      </c>
    </row>
    <row r="31">
      <c r="A31" t="inlineStr">
        <is>
          <t>P1</t>
        </is>
      </c>
      <c r="B31" t="n">
        <v>448</v>
      </c>
    </row>
    <row r="32">
      <c r="A32" t="inlineStr">
        <is>
          <t>P3</t>
        </is>
      </c>
      <c r="B32" t="n">
        <v>3141</v>
      </c>
    </row>
    <row r="33">
      <c r="A33" t="inlineStr">
        <is>
          <t>P2</t>
        </is>
      </c>
      <c r="B33" t="n">
        <v>1346</v>
      </c>
    </row>
    <row r="35">
      <c r="A35" t="inlineStr">
        <is>
          <t>Category</t>
        </is>
      </c>
      <c r="B35" t="inlineStr">
        <is>
          <t>Count</t>
        </is>
      </c>
    </row>
    <row r="36">
      <c r="A36" t="inlineStr">
        <is>
          <t>Digital View Monitoring</t>
        </is>
      </c>
      <c r="B36" t="n">
        <v>3936</v>
      </c>
    </row>
    <row r="37">
      <c r="A37" t="inlineStr">
        <is>
          <t>International Money Transfer</t>
        </is>
      </c>
      <c r="B37" t="n">
        <v>809</v>
      </c>
    </row>
    <row r="38">
      <c r="A38" t="inlineStr">
        <is>
          <t>Card</t>
        </is>
      </c>
      <c r="B38" t="n">
        <v>790</v>
      </c>
    </row>
    <row r="39">
      <c r="A39" t="inlineStr">
        <is>
          <t>Onboarding</t>
        </is>
      </c>
      <c r="B39" t="n">
        <v>706</v>
      </c>
    </row>
    <row r="40">
      <c r="A40" t="inlineStr">
        <is>
          <t>Other</t>
        </is>
      </c>
      <c r="B40" t="n">
        <v>656</v>
      </c>
    </row>
    <row r="41">
      <c r="A41" t="inlineStr">
        <is>
          <t>Cash In</t>
        </is>
      </c>
      <c r="B41" t="n">
        <v>411</v>
      </c>
    </row>
    <row r="42">
      <c r="A42" t="inlineStr">
        <is>
          <t>Outward Fund transfer</t>
        </is>
      </c>
      <c r="B42" t="n">
        <v>320</v>
      </c>
    </row>
    <row r="43">
      <c r="A43" t="inlineStr">
        <is>
          <t>Cardless Cash Out</t>
        </is>
      </c>
      <c r="B43" t="n">
        <v>311</v>
      </c>
    </row>
    <row r="44">
      <c r="A44" t="inlineStr">
        <is>
          <t>Account Management</t>
        </is>
      </c>
      <c r="B44" t="n">
        <v>266</v>
      </c>
    </row>
    <row r="45">
      <c r="A45" t="inlineStr">
        <is>
          <t>Compliance</t>
        </is>
      </c>
      <c r="B45" t="n">
        <v>220</v>
      </c>
    </row>
    <row r="47">
      <c r="A47" t="inlineStr">
        <is>
          <t>Segment</t>
        </is>
      </c>
      <c r="B47" t="inlineStr">
        <is>
          <t>Value</t>
        </is>
      </c>
    </row>
    <row r="48">
      <c r="A48" t="inlineStr">
        <is>
          <t>Met</t>
        </is>
      </c>
      <c r="B48" t="n">
        <v>64.2</v>
      </c>
    </row>
    <row r="49">
      <c r="A49" t="inlineStr">
        <is>
          <t>Gap</t>
        </is>
      </c>
      <c r="B49" t="n">
        <v>35.8</v>
      </c>
    </row>
    <row r="51">
      <c r="A51" t="inlineStr">
        <is>
          <t>Month</t>
        </is>
      </c>
      <c r="B51" t="inlineStr">
        <is>
          <t>SLA %</t>
        </is>
      </c>
      <c r="C51" t="inlineStr">
        <is>
          <t>Target</t>
        </is>
      </c>
    </row>
    <row r="52">
      <c r="A52" t="inlineStr">
        <is>
          <t>2024-04</t>
        </is>
      </c>
      <c r="B52" t="n">
        <v>0</v>
      </c>
      <c r="C52" t="n">
        <v>95</v>
      </c>
    </row>
    <row r="53">
      <c r="A53" t="inlineStr">
        <is>
          <t>2024-05</t>
        </is>
      </c>
      <c r="B53" t="n">
        <v>0</v>
      </c>
      <c r="C53" t="n">
        <v>95</v>
      </c>
    </row>
    <row r="54">
      <c r="A54" t="inlineStr">
        <is>
          <t>2024-06</t>
        </is>
      </c>
      <c r="B54" t="n">
        <v>0</v>
      </c>
      <c r="C54" t="n">
        <v>95</v>
      </c>
    </row>
    <row r="55">
      <c r="A55" t="inlineStr">
        <is>
          <t>2024-07</t>
        </is>
      </c>
      <c r="B55" t="n">
        <v>0</v>
      </c>
      <c r="C55" t="n">
        <v>95</v>
      </c>
    </row>
    <row r="56">
      <c r="A56" t="inlineStr">
        <is>
          <t>2024-08</t>
        </is>
      </c>
      <c r="B56" t="n">
        <v>0</v>
      </c>
      <c r="C56" t="n">
        <v>95</v>
      </c>
    </row>
    <row r="57">
      <c r="A57" t="inlineStr">
        <is>
          <t>2024-09</t>
        </is>
      </c>
      <c r="B57" t="n">
        <v>0</v>
      </c>
      <c r="C57" t="n">
        <v>95</v>
      </c>
    </row>
    <row r="58">
      <c r="A58" t="inlineStr">
        <is>
          <t>2024-10</t>
        </is>
      </c>
      <c r="B58" t="n">
        <v>0</v>
      </c>
      <c r="C58" t="n">
        <v>95</v>
      </c>
    </row>
    <row r="59">
      <c r="A59" t="inlineStr">
        <is>
          <t>2024-11</t>
        </is>
      </c>
      <c r="B59" t="n">
        <v>0</v>
      </c>
      <c r="C59" t="n">
        <v>95</v>
      </c>
    </row>
    <row r="60">
      <c r="A60" t="inlineStr">
        <is>
          <t>2024-12</t>
        </is>
      </c>
      <c r="B60" t="n">
        <v>0</v>
      </c>
      <c r="C60" t="n">
        <v>95</v>
      </c>
    </row>
    <row r="61">
      <c r="A61" t="inlineStr">
        <is>
          <t>2025-01</t>
        </is>
      </c>
      <c r="B61" t="n">
        <v>0</v>
      </c>
      <c r="C61" t="n">
        <v>95</v>
      </c>
    </row>
    <row r="62">
      <c r="A62" t="inlineStr">
        <is>
          <t>2025-02</t>
        </is>
      </c>
      <c r="B62" t="n">
        <v>0</v>
      </c>
      <c r="C62" t="n">
        <v>95</v>
      </c>
    </row>
    <row r="63">
      <c r="A63" t="inlineStr">
        <is>
          <t>2025-03</t>
        </is>
      </c>
      <c r="B63" t="n">
        <v>0</v>
      </c>
      <c r="C63" t="n">
        <v>95</v>
      </c>
    </row>
    <row r="64">
      <c r="A64" t="inlineStr">
        <is>
          <t>2025-04</t>
        </is>
      </c>
      <c r="B64" t="n">
        <v>0</v>
      </c>
      <c r="C64" t="n">
        <v>95</v>
      </c>
    </row>
    <row r="65">
      <c r="A65" t="inlineStr">
        <is>
          <t>2025-05</t>
        </is>
      </c>
      <c r="B65" t="n">
        <v>0</v>
      </c>
      <c r="C65" t="n">
        <v>95</v>
      </c>
    </row>
    <row r="66">
      <c r="A66" t="inlineStr">
        <is>
          <t>2025-06</t>
        </is>
      </c>
      <c r="B66" t="n">
        <v>0</v>
      </c>
      <c r="C66" t="n">
        <v>95</v>
      </c>
    </row>
    <row r="67">
      <c r="A67" t="inlineStr">
        <is>
          <t>2025-07</t>
        </is>
      </c>
      <c r="B67" t="n">
        <v>0</v>
      </c>
      <c r="C67" t="n">
        <v>95</v>
      </c>
    </row>
    <row r="69">
      <c r="A69" t="inlineStr">
        <is>
          <t>Type</t>
        </is>
      </c>
      <c r="B69" t="inlineStr">
        <is>
          <t>Count</t>
        </is>
      </c>
    </row>
    <row r="70">
      <c r="A70" t="inlineStr">
        <is>
          <t>Type0</t>
        </is>
      </c>
      <c r="B70" t="n">
        <v>30</v>
      </c>
    </row>
    <row r="71">
      <c r="A71" t="inlineStr">
        <is>
          <t>Type1</t>
        </is>
      </c>
      <c r="B71" t="n">
        <v>15</v>
      </c>
    </row>
    <row r="72">
      <c r="A72" t="inlineStr">
        <is>
          <t>Type2</t>
        </is>
      </c>
      <c r="B72" t="n">
        <v>5</v>
      </c>
    </row>
    <row r="74">
      <c r="A74" t="inlineStr">
        <is>
          <t>Month</t>
        </is>
      </c>
      <c r="B74" t="inlineStr">
        <is>
          <t>Success %</t>
        </is>
      </c>
      <c r="C74" t="inlineStr">
        <is>
          <t>Threshold</t>
        </is>
      </c>
    </row>
    <row r="75">
      <c r="A75" t="inlineStr">
        <is>
          <t>2024-04</t>
        </is>
      </c>
      <c r="B75" t="n">
        <v>0</v>
      </c>
      <c r="C75" t="n">
        <v>90</v>
      </c>
    </row>
    <row r="76">
      <c r="A76" t="inlineStr">
        <is>
          <t>2024-05</t>
        </is>
      </c>
      <c r="B76" t="n">
        <v>0</v>
      </c>
      <c r="C76" t="n">
        <v>90</v>
      </c>
    </row>
    <row r="77">
      <c r="A77" t="inlineStr">
        <is>
          <t>2024-06</t>
        </is>
      </c>
      <c r="B77" t="n">
        <v>0</v>
      </c>
      <c r="C77" t="n">
        <v>90</v>
      </c>
    </row>
    <row r="78">
      <c r="A78" t="inlineStr">
        <is>
          <t>2024-07</t>
        </is>
      </c>
      <c r="B78" t="n">
        <v>0</v>
      </c>
      <c r="C78" t="n">
        <v>90</v>
      </c>
    </row>
    <row r="79">
      <c r="A79" t="inlineStr">
        <is>
          <t>2024-08</t>
        </is>
      </c>
      <c r="B79" t="n">
        <v>0</v>
      </c>
      <c r="C79" t="n">
        <v>90</v>
      </c>
    </row>
    <row r="80">
      <c r="A80" t="inlineStr">
        <is>
          <t>2024-09</t>
        </is>
      </c>
      <c r="B80" t="n">
        <v>0</v>
      </c>
      <c r="C80" t="n">
        <v>90</v>
      </c>
    </row>
    <row r="81">
      <c r="A81" t="inlineStr">
        <is>
          <t>2024-10</t>
        </is>
      </c>
      <c r="B81" t="n">
        <v>0</v>
      </c>
      <c r="C81" t="n">
        <v>90</v>
      </c>
    </row>
    <row r="82">
      <c r="A82" t="inlineStr">
        <is>
          <t>2024-11</t>
        </is>
      </c>
      <c r="B82" t="n">
        <v>100</v>
      </c>
      <c r="C82" t="n">
        <v>90</v>
      </c>
    </row>
    <row r="83">
      <c r="A83" t="inlineStr">
        <is>
          <t>2024-12</t>
        </is>
      </c>
      <c r="B83" t="n">
        <v>81.2</v>
      </c>
      <c r="C83" t="n">
        <v>90</v>
      </c>
    </row>
    <row r="84">
      <c r="A84" t="inlineStr">
        <is>
          <t>2025-01</t>
        </is>
      </c>
      <c r="B84" t="n">
        <v>81.8</v>
      </c>
      <c r="C84" t="n">
        <v>90</v>
      </c>
    </row>
    <row r="85">
      <c r="A85" t="inlineStr">
        <is>
          <t>2025-02</t>
        </is>
      </c>
      <c r="B85" t="n">
        <v>0</v>
      </c>
      <c r="C85" t="n">
        <v>90</v>
      </c>
    </row>
    <row r="86">
      <c r="A86" t="inlineStr">
        <is>
          <t>2025-03</t>
        </is>
      </c>
      <c r="B86" t="n">
        <v>0</v>
      </c>
      <c r="C86" t="n">
        <v>90</v>
      </c>
    </row>
    <row r="87">
      <c r="A87" t="inlineStr">
        <is>
          <t>2025-04</t>
        </is>
      </c>
      <c r="B87" t="n">
        <v>0</v>
      </c>
      <c r="C87" t="n">
        <v>90</v>
      </c>
    </row>
    <row r="88">
      <c r="A88" t="inlineStr">
        <is>
          <t>2025-05</t>
        </is>
      </c>
      <c r="B88" t="n">
        <v>0</v>
      </c>
      <c r="C88" t="n">
        <v>90</v>
      </c>
    </row>
    <row r="89">
      <c r="A89" t="inlineStr">
        <is>
          <t>2025-06</t>
        </is>
      </c>
      <c r="B89" t="n">
        <v>0</v>
      </c>
      <c r="C89" t="n">
        <v>90</v>
      </c>
    </row>
    <row r="90">
      <c r="A90" t="inlineStr">
        <is>
          <t>2025-07</t>
        </is>
      </c>
      <c r="B90" t="n">
        <v>0</v>
      </c>
      <c r="C90" t="n">
        <v>90</v>
      </c>
    </row>
    <row r="92">
      <c r="A92" t="inlineStr">
        <is>
          <t>Category</t>
        </is>
      </c>
      <c r="B92" t="inlineStr">
        <is>
          <t>Total</t>
        </is>
      </c>
      <c r="C92" t="inlineStr">
        <is>
          <t>Failed</t>
        </is>
      </c>
    </row>
    <row r="93">
      <c r="A93" t="inlineStr">
        <is>
          <t>Infrastructure</t>
        </is>
      </c>
      <c r="B93" t="n">
        <v>16</v>
      </c>
      <c r="C93" t="n">
        <v>0</v>
      </c>
    </row>
    <row r="94">
      <c r="A94" t="inlineStr">
        <is>
          <t>Application</t>
        </is>
      </c>
      <c r="B94" t="n">
        <v>11</v>
      </c>
      <c r="C94" t="n">
        <v>0</v>
      </c>
    </row>
    <row r="95">
      <c r="A95" t="inlineStr">
        <is>
          <t>Database</t>
        </is>
      </c>
      <c r="B95" t="n">
        <v>9</v>
      </c>
      <c r="C95" t="n">
        <v>0</v>
      </c>
    </row>
    <row r="96">
      <c r="A96" t="inlineStr">
        <is>
          <t>Network</t>
        </is>
      </c>
      <c r="B96" t="n">
        <v>7</v>
      </c>
      <c r="C96" t="n">
        <v>0</v>
      </c>
    </row>
    <row r="97">
      <c r="A97" t="inlineStr">
        <is>
          <t>Security</t>
        </is>
      </c>
      <c r="B97" t="n">
        <v>7</v>
      </c>
      <c r="C97" t="n">
        <v>0</v>
      </c>
    </row>
    <row r="99">
      <c r="A99" t="inlineStr">
        <is>
          <t>Type</t>
        </is>
      </c>
      <c r="B99" t="inlineStr">
        <is>
          <t>Count</t>
        </is>
      </c>
    </row>
    <row r="100">
      <c r="A100" t="inlineStr">
        <is>
          <t>Type0</t>
        </is>
      </c>
      <c r="B100" t="n">
        <v>20</v>
      </c>
    </row>
    <row r="101">
      <c r="A101" t="inlineStr">
        <is>
          <t>Type1</t>
        </is>
      </c>
      <c r="B101" t="n">
        <v>14</v>
      </c>
    </row>
    <row r="102">
      <c r="A102" t="inlineStr">
        <is>
          <t>Type2</t>
        </is>
      </c>
      <c r="B102" t="n">
        <v>7</v>
      </c>
    </row>
    <row r="103">
      <c r="A103" t="inlineStr">
        <is>
          <t>Type3</t>
        </is>
      </c>
      <c r="B103" t="n">
        <v>9</v>
      </c>
    </row>
    <row r="105">
      <c r="A105" t="inlineStr">
        <is>
          <t>Rating</t>
        </is>
      </c>
      <c r="B105" t="inlineStr">
        <is>
          <t>Count</t>
        </is>
      </c>
    </row>
    <row r="106">
      <c r="A106" t="inlineStr">
        <is>
          <t>5</t>
        </is>
      </c>
      <c r="B106" t="n">
        <v>10</v>
      </c>
    </row>
    <row r="107">
      <c r="A107" t="inlineStr">
        <is>
          <t>4</t>
        </is>
      </c>
      <c r="B107" t="n">
        <v>9</v>
      </c>
    </row>
    <row r="108">
      <c r="A108" t="inlineStr">
        <is>
          <t>3</t>
        </is>
      </c>
      <c r="B108" t="n">
        <v>7</v>
      </c>
    </row>
    <row r="109">
      <c r="A109" t="inlineStr">
        <is>
          <t>2</t>
        </is>
      </c>
      <c r="B109" t="n">
        <v>5</v>
      </c>
    </row>
    <row r="110">
      <c r="A110" t="inlineStr">
        <is>
          <t>1</t>
        </is>
      </c>
      <c r="B110" t="n">
        <v>2</v>
      </c>
    </row>
    <row r="112">
      <c r="A112" t="inlineStr">
        <is>
          <t>Month</t>
        </is>
      </c>
      <c r="B112" t="inlineStr">
        <is>
          <t>Volume</t>
        </is>
      </c>
      <c r="C112" t="inlineStr">
        <is>
          <t>Avg CSAT</t>
        </is>
      </c>
    </row>
    <row r="113">
      <c r="A113" t="inlineStr">
        <is>
          <t>2024-04</t>
        </is>
      </c>
      <c r="B113" t="n">
        <v>0</v>
      </c>
      <c r="C113" t="n">
        <v>0</v>
      </c>
    </row>
    <row r="114">
      <c r="A114" t="inlineStr">
        <is>
          <t>2024-05</t>
        </is>
      </c>
      <c r="B114" t="n">
        <v>0</v>
      </c>
      <c r="C114" t="n">
        <v>0</v>
      </c>
    </row>
    <row r="115">
      <c r="A115" t="inlineStr">
        <is>
          <t>2024-06</t>
        </is>
      </c>
      <c r="B115" t="n">
        <v>0</v>
      </c>
      <c r="C115" t="n">
        <v>0</v>
      </c>
    </row>
    <row r="116">
      <c r="A116" t="inlineStr">
        <is>
          <t>2024-07</t>
        </is>
      </c>
      <c r="B116" t="n">
        <v>0</v>
      </c>
      <c r="C116" t="n">
        <v>0</v>
      </c>
    </row>
    <row r="117">
      <c r="A117" t="inlineStr">
        <is>
          <t>2024-08</t>
        </is>
      </c>
      <c r="B117" t="n">
        <v>0</v>
      </c>
      <c r="C117" t="n">
        <v>0</v>
      </c>
    </row>
    <row r="118">
      <c r="A118" t="inlineStr">
        <is>
          <t>2024-09</t>
        </is>
      </c>
      <c r="B118" t="n">
        <v>0</v>
      </c>
      <c r="C118" t="n">
        <v>0</v>
      </c>
    </row>
    <row r="119">
      <c r="A119" t="inlineStr">
        <is>
          <t>2024-10</t>
        </is>
      </c>
      <c r="B119" t="n">
        <v>0</v>
      </c>
      <c r="C119" t="n">
        <v>0</v>
      </c>
    </row>
    <row r="120">
      <c r="A120" t="inlineStr">
        <is>
          <t>2024-11</t>
        </is>
      </c>
      <c r="B120" t="n">
        <v>9</v>
      </c>
      <c r="C120" t="n">
        <v>0</v>
      </c>
    </row>
    <row r="121">
      <c r="A121" t="inlineStr">
        <is>
          <t>2024-12</t>
        </is>
      </c>
      <c r="B121" t="n">
        <v>30</v>
      </c>
      <c r="C121" t="n">
        <v>0</v>
      </c>
    </row>
    <row r="122">
      <c r="A122" t="inlineStr">
        <is>
          <t>2025-01</t>
        </is>
      </c>
      <c r="B122" t="n">
        <v>11</v>
      </c>
      <c r="C122" t="n">
        <v>0</v>
      </c>
    </row>
    <row r="123">
      <c r="A123" t="inlineStr">
        <is>
          <t>2025-02</t>
        </is>
      </c>
      <c r="B123" t="n">
        <v>0</v>
      </c>
      <c r="C123" t="n">
        <v>0</v>
      </c>
    </row>
    <row r="124">
      <c r="A124" t="inlineStr">
        <is>
          <t>2025-03</t>
        </is>
      </c>
      <c r="B124" t="n">
        <v>0</v>
      </c>
      <c r="C124" t="n">
        <v>0</v>
      </c>
    </row>
    <row r="125">
      <c r="A125" t="inlineStr">
        <is>
          <t>2025-04</t>
        </is>
      </c>
      <c r="B125" t="n">
        <v>0</v>
      </c>
      <c r="C125" t="n">
        <v>0</v>
      </c>
    </row>
    <row r="126">
      <c r="A126" t="inlineStr">
        <is>
          <t>2025-05</t>
        </is>
      </c>
      <c r="B126" t="n">
        <v>0</v>
      </c>
      <c r="C126" t="n">
        <v>0</v>
      </c>
    </row>
    <row r="127">
      <c r="A127" t="inlineStr">
        <is>
          <t>2025-06</t>
        </is>
      </c>
      <c r="B127" t="n">
        <v>0</v>
      </c>
      <c r="C127" t="n">
        <v>0</v>
      </c>
    </row>
    <row r="128">
      <c r="A128" t="inlineStr">
        <is>
          <t>2025-07</t>
        </is>
      </c>
      <c r="B128" t="n">
        <v>0</v>
      </c>
      <c r="C128" t="n">
        <v>0</v>
      </c>
    </row>
    <row r="130">
      <c r="A130" t="inlineStr">
        <is>
          <t>Request Type</t>
        </is>
      </c>
      <c r="B130" t="inlineStr">
        <is>
          <t>Min</t>
        </is>
      </c>
      <c r="C130" t="inlineStr">
        <is>
          <t>Avg</t>
        </is>
      </c>
      <c r="D130" t="inlineStr">
        <is>
          <t>Max</t>
        </is>
      </c>
    </row>
    <row r="131">
      <c r="A131" t="inlineStr">
        <is>
          <t>Access</t>
        </is>
      </c>
      <c r="B131" t="n">
        <v>6</v>
      </c>
      <c r="C131" t="n">
        <v>24.6</v>
      </c>
      <c r="D131" t="n">
        <v>60</v>
      </c>
    </row>
    <row r="132">
      <c r="A132" t="inlineStr">
        <is>
          <t>Information</t>
        </is>
      </c>
      <c r="B132" t="n">
        <v>11</v>
      </c>
      <c r="C132" t="n">
        <v>39.3</v>
      </c>
      <c r="D132" t="n">
        <v>57</v>
      </c>
    </row>
    <row r="133">
      <c r="A133" t="inlineStr">
        <is>
          <t>Provisioning</t>
        </is>
      </c>
      <c r="B133" t="n">
        <v>9</v>
      </c>
      <c r="C133" t="n">
        <v>45.9</v>
      </c>
      <c r="D133" t="n">
        <v>72</v>
      </c>
    </row>
    <row r="134">
      <c r="A134" t="inlineStr">
        <is>
          <t>Standard Change</t>
        </is>
      </c>
      <c r="B134" t="n">
        <v>11</v>
      </c>
      <c r="C134" t="n">
        <v>41.2</v>
      </c>
      <c r="D134" t="n">
        <v>61</v>
      </c>
    </row>
    <row r="136">
      <c r="A136" t="inlineStr">
        <is>
          <t>Status</t>
        </is>
      </c>
      <c r="B136" t="inlineStr">
        <is>
          <t>Count</t>
        </is>
      </c>
    </row>
    <row r="137">
      <c r="A137" t="inlineStr">
        <is>
          <t>Known Error</t>
        </is>
      </c>
      <c r="B137" t="n">
        <v>14</v>
      </c>
    </row>
    <row r="138">
      <c r="A138" t="inlineStr">
        <is>
          <t>Resolved</t>
        </is>
      </c>
      <c r="B138" t="n">
        <v>16</v>
      </c>
    </row>
    <row r="139">
      <c r="A139" t="inlineStr">
        <is>
          <t>Closed</t>
        </is>
      </c>
      <c r="B139" t="n">
        <v>8</v>
      </c>
    </row>
    <row r="140">
      <c r="A140" t="inlineStr">
        <is>
          <t>Under Investigation</t>
        </is>
      </c>
      <c r="B140" t="n">
        <v>10</v>
      </c>
    </row>
    <row r="141">
      <c r="A141" t="inlineStr">
        <is>
          <t>New</t>
        </is>
      </c>
      <c r="B141" t="n">
        <v>2</v>
      </c>
    </row>
    <row r="143">
      <c r="A143" t="inlineStr">
        <is>
          <t>Root Cause</t>
        </is>
      </c>
      <c r="B143" t="inlineStr">
        <is>
          <t>Count</t>
        </is>
      </c>
    </row>
    <row r="144">
      <c r="A144" t="inlineStr">
        <is>
          <t>RC0</t>
        </is>
      </c>
      <c r="B144" t="n">
        <v>15</v>
      </c>
    </row>
    <row r="145">
      <c r="A145" t="inlineStr">
        <is>
          <t>RC1</t>
        </is>
      </c>
      <c r="B145" t="n">
        <v>8</v>
      </c>
    </row>
    <row r="146">
      <c r="A146" t="inlineStr">
        <is>
          <t>RC2</t>
        </is>
      </c>
      <c r="B146" t="n">
        <v>11</v>
      </c>
    </row>
    <row r="147">
      <c r="A147" t="inlineStr">
        <is>
          <t>RC3</t>
        </is>
      </c>
      <c r="B147" t="n">
        <v>13</v>
      </c>
    </row>
    <row r="148">
      <c r="A148" t="inlineStr">
        <is>
          <t>RC4</t>
        </is>
      </c>
      <c r="B148" t="n">
        <v>3</v>
      </c>
    </row>
    <row r="150">
      <c r="A150" t="inlineStr">
        <is>
          <t>Month</t>
        </is>
      </c>
      <c r="B150" t="inlineStr">
        <is>
          <t>Count</t>
        </is>
      </c>
      <c r="C150" t="inlineStr">
        <is>
          <t>Cumulative</t>
        </is>
      </c>
    </row>
    <row r="151">
      <c r="A151" t="inlineStr">
        <is>
          <t>2024-04</t>
        </is>
      </c>
      <c r="B151" t="n">
        <v>0</v>
      </c>
      <c r="C151" t="n">
        <v>0</v>
      </c>
    </row>
    <row r="152">
      <c r="A152" t="inlineStr">
        <is>
          <t>2024-05</t>
        </is>
      </c>
      <c r="B152" t="n">
        <v>0</v>
      </c>
      <c r="C152" t="n">
        <v>0</v>
      </c>
    </row>
    <row r="153">
      <c r="A153" t="inlineStr">
        <is>
          <t>2024-06</t>
        </is>
      </c>
      <c r="B153" t="n">
        <v>0</v>
      </c>
      <c r="C153" t="n">
        <v>0</v>
      </c>
    </row>
    <row r="154">
      <c r="A154" t="inlineStr">
        <is>
          <t>2024-07</t>
        </is>
      </c>
      <c r="B154" t="n">
        <v>0</v>
      </c>
      <c r="C154" t="n">
        <v>0</v>
      </c>
    </row>
    <row r="155">
      <c r="A155" t="inlineStr">
        <is>
          <t>2024-08</t>
        </is>
      </c>
      <c r="B155" t="n">
        <v>0</v>
      </c>
      <c r="C155" t="n">
        <v>0</v>
      </c>
    </row>
    <row r="156">
      <c r="A156" t="inlineStr">
        <is>
          <t>2024-09</t>
        </is>
      </c>
      <c r="B156" t="n">
        <v>0</v>
      </c>
      <c r="C156" t="n">
        <v>0</v>
      </c>
    </row>
    <row r="157">
      <c r="A157" t="inlineStr">
        <is>
          <t>2024-10</t>
        </is>
      </c>
      <c r="B157" t="n">
        <v>0</v>
      </c>
      <c r="C157" t="n">
        <v>0</v>
      </c>
    </row>
    <row r="158">
      <c r="A158" t="inlineStr">
        <is>
          <t>2024-11</t>
        </is>
      </c>
      <c r="B158" t="n">
        <v>11</v>
      </c>
      <c r="C158" t="n">
        <v>11</v>
      </c>
    </row>
    <row r="159">
      <c r="A159" t="inlineStr">
        <is>
          <t>2024-12</t>
        </is>
      </c>
      <c r="B159" t="n">
        <v>28</v>
      </c>
      <c r="C159" t="n">
        <v>39</v>
      </c>
    </row>
    <row r="160">
      <c r="A160" t="inlineStr">
        <is>
          <t>2025-01</t>
        </is>
      </c>
      <c r="B160" t="n">
        <v>11</v>
      </c>
      <c r="C160" t="n">
        <v>50</v>
      </c>
    </row>
    <row r="161">
      <c r="A161" t="inlineStr">
        <is>
          <t>2025-02</t>
        </is>
      </c>
      <c r="B161" t="n">
        <v>0</v>
      </c>
      <c r="C161" t="n">
        <v>50</v>
      </c>
    </row>
    <row r="162">
      <c r="A162" t="inlineStr">
        <is>
          <t>2025-03</t>
        </is>
      </c>
      <c r="B162" t="n">
        <v>0</v>
      </c>
      <c r="C162" t="n">
        <v>50</v>
      </c>
    </row>
    <row r="163">
      <c r="A163" t="inlineStr">
        <is>
          <t>2025-04</t>
        </is>
      </c>
      <c r="B163" t="n">
        <v>0</v>
      </c>
      <c r="C163" t="n">
        <v>50</v>
      </c>
    </row>
    <row r="164">
      <c r="A164" t="inlineStr">
        <is>
          <t>2025-05</t>
        </is>
      </c>
      <c r="B164" t="n">
        <v>0</v>
      </c>
      <c r="C164" t="n">
        <v>50</v>
      </c>
    </row>
    <row r="165">
      <c r="A165" t="inlineStr">
        <is>
          <t>2025-06</t>
        </is>
      </c>
      <c r="B165" t="n">
        <v>0</v>
      </c>
      <c r="C165" t="n">
        <v>50</v>
      </c>
    </row>
    <row r="166">
      <c r="A166" t="inlineStr">
        <is>
          <t>2025-07</t>
        </is>
      </c>
      <c r="B166" t="n">
        <v>0</v>
      </c>
      <c r="C166" t="n">
        <v>50</v>
      </c>
    </row>
    <row r="168">
      <c r="A168" t="inlineStr">
        <is>
          <t>Flow</t>
        </is>
      </c>
      <c r="B168" t="inlineStr">
        <is>
          <t>Count</t>
        </is>
      </c>
    </row>
    <row r="169">
      <c r="A169" t="inlineStr">
        <is>
          <t>Changes→Incidents</t>
        </is>
      </c>
      <c r="B169" t="n">
        <v>9</v>
      </c>
    </row>
    <row r="171">
      <c r="A171" t="inlineStr">
        <is>
          <t>Person</t>
        </is>
      </c>
      <c r="B171" t="inlineStr">
        <is>
          <t>Count</t>
        </is>
      </c>
    </row>
    <row r="172">
      <c r="A172" t="inlineStr">
        <is>
          <t>Jessica Smith</t>
        </is>
      </c>
      <c r="B172" t="n">
        <v>414</v>
      </c>
    </row>
    <row r="173">
      <c r="A173" t="inlineStr">
        <is>
          <t>Richard Smith</t>
        </is>
      </c>
      <c r="B173" t="n">
        <v>395</v>
      </c>
    </row>
    <row r="174">
      <c r="A174" t="inlineStr">
        <is>
          <t>Joseph Smith</t>
        </is>
      </c>
      <c r="B174" t="n">
        <v>393</v>
      </c>
    </row>
    <row r="175">
      <c r="A175" t="inlineStr">
        <is>
          <t>Thomas Smith</t>
        </is>
      </c>
      <c r="B175" t="n">
        <v>389</v>
      </c>
    </row>
    <row r="176">
      <c r="A176" t="inlineStr">
        <is>
          <t>Michael Smith</t>
        </is>
      </c>
      <c r="B176" t="n">
        <v>385</v>
      </c>
    </row>
    <row r="177">
      <c r="A177" t="inlineStr">
        <is>
          <t>James Smith</t>
        </is>
      </c>
      <c r="B177" t="n">
        <v>385</v>
      </c>
    </row>
    <row r="178">
      <c r="A178" t="inlineStr">
        <is>
          <t>Christopher Smith</t>
        </is>
      </c>
      <c r="B178" t="n">
        <v>384</v>
      </c>
    </row>
    <row r="179">
      <c r="A179" t="inlineStr">
        <is>
          <t>Elizabeth Smith</t>
        </is>
      </c>
      <c r="B179" t="n">
        <v>381</v>
      </c>
    </row>
    <row r="180">
      <c r="A180" t="inlineStr">
        <is>
          <t>Charles Smith</t>
        </is>
      </c>
      <c r="B180" t="n">
        <v>381</v>
      </c>
    </row>
    <row r="181">
      <c r="A181" t="inlineStr">
        <is>
          <t>Nancy Smith</t>
        </is>
      </c>
      <c r="B181" t="n">
        <v>380</v>
      </c>
    </row>
    <row r="182">
      <c r="A182" t="inlineStr">
        <is>
          <t>Sarah Smith</t>
        </is>
      </c>
      <c r="B182" t="n">
        <v>379</v>
      </c>
    </row>
    <row r="183">
      <c r="A183" t="inlineStr">
        <is>
          <t>Karen Smith</t>
        </is>
      </c>
      <c r="B183" t="n">
        <v>379</v>
      </c>
    </row>
    <row r="184">
      <c r="A184" t="inlineStr">
        <is>
          <t>William Smith</t>
        </is>
      </c>
      <c r="B184" t="n">
        <v>377</v>
      </c>
    </row>
    <row r="185">
      <c r="A185" t="inlineStr">
        <is>
          <t>Patricia Smith</t>
        </is>
      </c>
      <c r="B185" t="n">
        <v>376</v>
      </c>
    </row>
    <row r="186">
      <c r="A186" t="inlineStr">
        <is>
          <t>Daniel Smith</t>
        </is>
      </c>
      <c r="B186" t="n">
        <v>375</v>
      </c>
    </row>
    <row r="188">
      <c r="A188" t="inlineStr">
        <is>
          <t>Person</t>
        </is>
      </c>
      <c r="B188" t="inlineStr">
        <is>
          <t>Count</t>
        </is>
      </c>
    </row>
    <row r="189">
      <c r="A189" t="inlineStr">
        <is>
          <t>Jessica Smith</t>
        </is>
      </c>
      <c r="B189" t="n">
        <v>414</v>
      </c>
    </row>
    <row r="190">
      <c r="A190" t="inlineStr">
        <is>
          <t>Richard Smith</t>
        </is>
      </c>
      <c r="B190" t="n">
        <v>395</v>
      </c>
    </row>
    <row r="191">
      <c r="A191" t="inlineStr">
        <is>
          <t>Joseph Smith</t>
        </is>
      </c>
      <c r="B191" t="n">
        <v>393</v>
      </c>
    </row>
    <row r="192">
      <c r="A192" t="inlineStr">
        <is>
          <t>Thomas Smith</t>
        </is>
      </c>
      <c r="B192" t="n">
        <v>389</v>
      </c>
    </row>
    <row r="193">
      <c r="A193" t="inlineStr">
        <is>
          <t>Michael Smith</t>
        </is>
      </c>
      <c r="B193" t="n">
        <v>385</v>
      </c>
    </row>
    <row r="194">
      <c r="A194" t="inlineStr">
        <is>
          <t>James Smith</t>
        </is>
      </c>
      <c r="B194" t="n">
        <v>385</v>
      </c>
    </row>
    <row r="195">
      <c r="A195" t="inlineStr">
        <is>
          <t>Christopher Smith</t>
        </is>
      </c>
      <c r="B195" t="n">
        <v>384</v>
      </c>
    </row>
    <row r="196">
      <c r="A196" t="inlineStr">
        <is>
          <t>Elizabeth Smith</t>
        </is>
      </c>
      <c r="B196" t="n">
        <v>381</v>
      </c>
    </row>
    <row r="197">
      <c r="A197" t="inlineStr">
        <is>
          <t>Charles Smith</t>
        </is>
      </c>
      <c r="B197" t="n">
        <v>381</v>
      </c>
    </row>
    <row r="198">
      <c r="A198" t="inlineStr">
        <is>
          <t>Nancy Smith</t>
        </is>
      </c>
      <c r="B198" t="n">
        <v>380</v>
      </c>
    </row>
    <row r="200">
      <c r="A200" t="inlineStr">
        <is>
          <t>Month</t>
        </is>
      </c>
      <c r="B200" t="inlineStr">
        <is>
          <t>Incidents</t>
        </is>
      </c>
      <c r="C200" t="inlineStr">
        <is>
          <t>Changes</t>
        </is>
      </c>
      <c r="D200" t="inlineStr">
        <is>
          <t>Requests</t>
        </is>
      </c>
      <c r="E200" t="inlineStr">
        <is>
          <t>Problems</t>
        </is>
      </c>
    </row>
    <row r="201">
      <c r="A201" t="inlineStr">
        <is>
          <t>2024-04</t>
        </is>
      </c>
      <c r="B201" t="n">
        <v>195</v>
      </c>
      <c r="C201" t="n">
        <v>0</v>
      </c>
      <c r="D201" t="n">
        <v>0</v>
      </c>
      <c r="E201" t="n">
        <v>0</v>
      </c>
    </row>
    <row r="202">
      <c r="A202" t="inlineStr">
        <is>
          <t>2024-05</t>
        </is>
      </c>
      <c r="B202" t="n">
        <v>725</v>
      </c>
      <c r="C202" t="n">
        <v>0</v>
      </c>
      <c r="D202" t="n">
        <v>0</v>
      </c>
      <c r="E202" t="n">
        <v>0</v>
      </c>
    </row>
    <row r="203">
      <c r="A203" t="inlineStr">
        <is>
          <t>2024-06</t>
        </is>
      </c>
      <c r="B203" t="n">
        <v>924</v>
      </c>
      <c r="C203" t="n">
        <v>0</v>
      </c>
      <c r="D203" t="n">
        <v>0</v>
      </c>
      <c r="E203" t="n">
        <v>0</v>
      </c>
    </row>
    <row r="204">
      <c r="A204" t="inlineStr">
        <is>
          <t>2024-07</t>
        </is>
      </c>
      <c r="B204" t="n">
        <v>1007</v>
      </c>
      <c r="C204" t="n">
        <v>0</v>
      </c>
      <c r="D204" t="n">
        <v>0</v>
      </c>
      <c r="E204" t="n">
        <v>0</v>
      </c>
    </row>
    <row r="205">
      <c r="A205" t="inlineStr">
        <is>
          <t>2024-08</t>
        </is>
      </c>
      <c r="B205" t="n">
        <v>712</v>
      </c>
      <c r="C205" t="n">
        <v>0</v>
      </c>
      <c r="D205" t="n">
        <v>0</v>
      </c>
      <c r="E205" t="n">
        <v>0</v>
      </c>
    </row>
    <row r="206">
      <c r="A206" t="inlineStr">
        <is>
          <t>2024-09</t>
        </is>
      </c>
      <c r="B206" t="n">
        <v>621</v>
      </c>
      <c r="C206" t="n">
        <v>0</v>
      </c>
      <c r="D206" t="n">
        <v>0</v>
      </c>
      <c r="E206" t="n">
        <v>0</v>
      </c>
    </row>
    <row r="207">
      <c r="A207" t="inlineStr">
        <is>
          <t>2024-10</t>
        </is>
      </c>
      <c r="B207" t="n">
        <v>542</v>
      </c>
      <c r="C207" t="n">
        <v>0</v>
      </c>
      <c r="D207" t="n">
        <v>0</v>
      </c>
      <c r="E207" t="n">
        <v>0</v>
      </c>
    </row>
    <row r="208">
      <c r="A208" t="inlineStr">
        <is>
          <t>2024-11</t>
        </is>
      </c>
      <c r="B208" t="n">
        <v>441</v>
      </c>
      <c r="C208" t="n">
        <v>7</v>
      </c>
      <c r="D208" t="n">
        <v>9</v>
      </c>
      <c r="E208" t="n">
        <v>11</v>
      </c>
    </row>
    <row r="209">
      <c r="A209" t="inlineStr">
        <is>
          <t>2024-12</t>
        </is>
      </c>
      <c r="B209" t="n">
        <v>432</v>
      </c>
      <c r="C209" t="n">
        <v>32</v>
      </c>
      <c r="D209" t="n">
        <v>30</v>
      </c>
      <c r="E209" t="n">
        <v>28</v>
      </c>
    </row>
    <row r="210">
      <c r="A210" t="inlineStr">
        <is>
          <t>2025-01</t>
        </is>
      </c>
      <c r="B210" t="n">
        <v>511</v>
      </c>
      <c r="C210" t="n">
        <v>11</v>
      </c>
      <c r="D210" t="n">
        <v>11</v>
      </c>
      <c r="E210" t="n">
        <v>11</v>
      </c>
    </row>
    <row r="211">
      <c r="A211" t="inlineStr">
        <is>
          <t>2025-02</t>
        </is>
      </c>
      <c r="B211" t="n">
        <v>410</v>
      </c>
      <c r="C211" t="n">
        <v>0</v>
      </c>
      <c r="D211" t="n">
        <v>0</v>
      </c>
      <c r="E211" t="n">
        <v>0</v>
      </c>
    </row>
    <row r="212">
      <c r="A212" t="inlineStr">
        <is>
          <t>2025-03</t>
        </is>
      </c>
      <c r="B212" t="n">
        <v>599</v>
      </c>
      <c r="C212" t="n">
        <v>0</v>
      </c>
      <c r="D212" t="n">
        <v>0</v>
      </c>
      <c r="E212" t="n">
        <v>0</v>
      </c>
    </row>
    <row r="213">
      <c r="A213" t="inlineStr">
        <is>
          <t>2025-04</t>
        </is>
      </c>
      <c r="B213" t="n">
        <v>491</v>
      </c>
      <c r="C213" t="n">
        <v>0</v>
      </c>
      <c r="D213" t="n">
        <v>0</v>
      </c>
      <c r="E213" t="n">
        <v>0</v>
      </c>
    </row>
    <row r="214">
      <c r="A214" t="inlineStr">
        <is>
          <t>2025-05</t>
        </is>
      </c>
      <c r="B214" t="n">
        <v>652</v>
      </c>
      <c r="C214" t="n">
        <v>0</v>
      </c>
      <c r="D214" t="n">
        <v>0</v>
      </c>
      <c r="E214" t="n">
        <v>0</v>
      </c>
    </row>
    <row r="215">
      <c r="A215" t="inlineStr">
        <is>
          <t>2025-06</t>
        </is>
      </c>
      <c r="B215" t="n">
        <v>641</v>
      </c>
      <c r="C215" t="n">
        <v>0</v>
      </c>
      <c r="D215" t="n">
        <v>0</v>
      </c>
      <c r="E215" t="n">
        <v>0</v>
      </c>
    </row>
    <row r="216">
      <c r="A216" t="inlineStr">
        <is>
          <t>2025-07</t>
        </is>
      </c>
      <c r="B216" t="n">
        <v>74</v>
      </c>
      <c r="C216" t="n">
        <v>0</v>
      </c>
      <c r="D216" t="n">
        <v>0</v>
      </c>
      <c r="E216" t="n">
        <v>0</v>
      </c>
    </row>
    <row r="218">
      <c r="A218" t="inlineStr">
        <is>
          <t>Day</t>
        </is>
      </c>
      <c r="B218" t="inlineStr">
        <is>
          <t>Count</t>
        </is>
      </c>
    </row>
    <row r="219">
      <c r="A219" t="inlineStr">
        <is>
          <t>Monday</t>
        </is>
      </c>
      <c r="B219" t="n">
        <v>1506</v>
      </c>
    </row>
    <row r="220">
      <c r="A220" t="inlineStr">
        <is>
          <t>Tuesday</t>
        </is>
      </c>
      <c r="B220" t="n">
        <v>1334</v>
      </c>
    </row>
    <row r="221">
      <c r="A221" t="inlineStr">
        <is>
          <t>Wednesday</t>
        </is>
      </c>
      <c r="B221" t="n">
        <v>1436</v>
      </c>
    </row>
    <row r="222">
      <c r="A222" t="inlineStr">
        <is>
          <t>Thursday</t>
        </is>
      </c>
      <c r="B222" t="n">
        <v>1321</v>
      </c>
    </row>
    <row r="223">
      <c r="A223" t="inlineStr">
        <is>
          <t>Friday</t>
        </is>
      </c>
      <c r="B223" t="n">
        <v>1270</v>
      </c>
    </row>
    <row r="224">
      <c r="A224" t="inlineStr">
        <is>
          <t>Saturday</t>
        </is>
      </c>
      <c r="B224" t="n">
        <v>1040</v>
      </c>
    </row>
    <row r="225">
      <c r="A225" t="inlineStr">
        <is>
          <t>Sunday</t>
        </is>
      </c>
      <c r="B225" t="n">
        <v>1070</v>
      </c>
    </row>
    <row r="227">
      <c r="A227" t="inlineStr">
        <is>
          <t>Priority</t>
        </is>
      </c>
      <c r="B227" t="inlineStr">
        <is>
          <t>Count</t>
        </is>
      </c>
    </row>
    <row r="228">
      <c r="A228" t="inlineStr">
        <is>
          <t>URGENT</t>
        </is>
      </c>
      <c r="B228" t="n">
        <v>2</v>
      </c>
    </row>
    <row r="229">
      <c r="A229" t="inlineStr">
        <is>
          <t>HIGH</t>
        </is>
      </c>
      <c r="B229" t="n">
        <v>1</v>
      </c>
    </row>
    <row r="230">
      <c r="A230" t="inlineStr">
        <is>
          <t>MEDIUM</t>
        </is>
      </c>
      <c r="B230" t="n">
        <v>2</v>
      </c>
    </row>
    <row r="232">
      <c r="A232" t="inlineStr">
        <is>
          <t>Process</t>
        </is>
      </c>
      <c r="B232" t="inlineStr">
        <is>
          <t>Count</t>
        </is>
      </c>
    </row>
    <row r="233">
      <c r="A233" t="inlineStr">
        <is>
          <t>incident</t>
        </is>
      </c>
      <c r="B233" t="n">
        <v>2</v>
      </c>
    </row>
    <row r="234">
      <c r="A234" t="inlineStr">
        <is>
          <t>change</t>
        </is>
      </c>
      <c r="B234" t="n">
        <v>2</v>
      </c>
    </row>
    <row r="235">
      <c r="A235" t="inlineStr">
        <is>
          <t>request</t>
        </is>
      </c>
      <c r="B235" t="n">
        <v>1</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3b82f6"/>
    <outlinePr summaryBelow="1" summaryRight="1"/>
    <pageSetUpPr fitToPage="1"/>
  </sheetPr>
  <dimension ref="A1:K130"/>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Incident Analysis</t>
        </is>
      </c>
    </row>
    <row r="2" ht="22" customHeight="1">
      <c r="A2" s="2" t="inlineStr">
        <is>
          <t>2024-04-19 — 2025-07-06</t>
        </is>
      </c>
    </row>
    <row r="3" ht="10" customHeight="1"/>
    <row r="4" ht="26" customHeight="1">
      <c r="A4" s="3" t="inlineStr">
        <is>
          <t>Data Tables</t>
        </is>
      </c>
    </row>
    <row r="5" ht="26" customHeight="1">
      <c r="A5" s="3" t="inlineStr">
        <is>
          <t>Priority Breakdown</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3" t="n">
        <v>4042</v>
      </c>
      <c r="C7" s="5" t="inlineStr">
        <is>
          <t>45.0%</t>
        </is>
      </c>
      <c r="D7" s="5" t="inlineStr">
        <is>
          <t>45.0%</t>
        </is>
      </c>
      <c r="E7" s="5" t="inlineStr">
        <is>
          <t>29.1h</t>
        </is>
      </c>
      <c r="F7" s="5" t="inlineStr">
        <is>
          <t>25.1h</t>
        </is>
      </c>
      <c r="G7" s="5" t="inlineStr">
        <is>
          <t>0.0min</t>
        </is>
      </c>
      <c r="H7" s="5" t="inlineStr">
        <is>
          <t>377.7d</t>
        </is>
      </c>
      <c r="I7" s="5" t="inlineStr">
        <is>
          <t>0.0%</t>
        </is>
      </c>
      <c r="J7" s="5" t="inlineStr">
        <is>
          <t>99.7%</t>
        </is>
      </c>
      <c r="K7" s="13" t="n">
        <v>13</v>
      </c>
    </row>
    <row r="8" ht="18" customHeight="1">
      <c r="A8" s="6" t="inlineStr">
        <is>
          <t>P1</t>
        </is>
      </c>
      <c r="B8" s="14" t="n">
        <v>448</v>
      </c>
      <c r="C8" s="6" t="inlineStr">
        <is>
          <t>5.0%</t>
        </is>
      </c>
      <c r="D8" s="6" t="inlineStr">
        <is>
          <t>50.0%</t>
        </is>
      </c>
      <c r="E8" s="6" t="inlineStr">
        <is>
          <t>47.2h</t>
        </is>
      </c>
      <c r="F8" s="6" t="inlineStr">
        <is>
          <t>25.6h</t>
        </is>
      </c>
      <c r="G8" s="6" t="inlineStr">
        <is>
          <t>0.0min</t>
        </is>
      </c>
      <c r="H8" s="6" t="inlineStr">
        <is>
          <t>394.1d</t>
        </is>
      </c>
      <c r="I8" s="6" t="inlineStr">
        <is>
          <t>0.0%</t>
        </is>
      </c>
      <c r="J8" s="6" t="inlineStr">
        <is>
          <t>6.9%</t>
        </is>
      </c>
      <c r="K8" s="14" t="n">
        <v>417</v>
      </c>
    </row>
    <row r="9" ht="18" customHeight="1">
      <c r="A9" s="5" t="inlineStr">
        <is>
          <t>P3</t>
        </is>
      </c>
      <c r="B9" s="13" t="n">
        <v>3141</v>
      </c>
      <c r="C9" s="5" t="inlineStr">
        <is>
          <t>35.0%</t>
        </is>
      </c>
      <c r="D9" s="5" t="inlineStr">
        <is>
          <t>85.0%</t>
        </is>
      </c>
      <c r="E9" s="5" t="inlineStr">
        <is>
          <t>25.1h</t>
        </is>
      </c>
      <c r="F9" s="5" t="inlineStr">
        <is>
          <t>24.9h</t>
        </is>
      </c>
      <c r="G9" s="5" t="inlineStr">
        <is>
          <t>0.0min</t>
        </is>
      </c>
      <c r="H9" s="5" t="inlineStr">
        <is>
          <t>44.8d</t>
        </is>
      </c>
      <c r="I9" s="5" t="inlineStr">
        <is>
          <t>0.0%</t>
        </is>
      </c>
      <c r="J9" s="5" t="inlineStr">
        <is>
          <t>47.6%</t>
        </is>
      </c>
      <c r="K9" s="13" t="n">
        <v>1646</v>
      </c>
    </row>
    <row r="10" ht="18" customHeight="1">
      <c r="A10" s="6" t="inlineStr">
        <is>
          <t>P2</t>
        </is>
      </c>
      <c r="B10" s="14" t="n">
        <v>1346</v>
      </c>
      <c r="C10" s="6" t="inlineStr">
        <is>
          <t>15.0%</t>
        </is>
      </c>
      <c r="D10" s="6" t="inlineStr">
        <is>
          <t>100.0%</t>
        </is>
      </c>
      <c r="E10" s="6" t="inlineStr">
        <is>
          <t>34.0h</t>
        </is>
      </c>
      <c r="F10" s="6" t="inlineStr">
        <is>
          <t>25.5h</t>
        </is>
      </c>
      <c r="G10" s="6" t="inlineStr">
        <is>
          <t>0.0min</t>
        </is>
      </c>
      <c r="H10" s="6" t="inlineStr">
        <is>
          <t>398.8d</t>
        </is>
      </c>
      <c r="I10" s="6" t="inlineStr">
        <is>
          <t>0.0%</t>
        </is>
      </c>
      <c r="J10" s="6" t="inlineStr">
        <is>
          <t>15.5%</t>
        </is>
      </c>
      <c r="K10" s="14" t="n">
        <v>1138</v>
      </c>
    </row>
    <row r="11" ht="10" customHeight="1"/>
    <row r="12" ht="26" customHeight="1">
      <c r="A12" s="3" t="inlineStr">
        <is>
          <t>Category Breakdown</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3" t="n">
        <v>3936</v>
      </c>
      <c r="C14" s="5" t="inlineStr">
        <is>
          <t>43.8%</t>
        </is>
      </c>
      <c r="D14" s="5" t="inlineStr">
        <is>
          <t>43.8%</t>
        </is>
      </c>
      <c r="E14" s="5" t="inlineStr">
        <is>
          <t>25.4h</t>
        </is>
      </c>
      <c r="F14" s="5" t="inlineStr">
        <is>
          <t>26.5h</t>
        </is>
      </c>
      <c r="G14" s="5" t="inlineStr">
        <is>
          <t>17.0h</t>
        </is>
      </c>
    </row>
    <row r="15" ht="18" customHeight="1">
      <c r="A15" s="6" t="inlineStr">
        <is>
          <t>International Money Transfer</t>
        </is>
      </c>
      <c r="B15" s="14" t="n">
        <v>809</v>
      </c>
      <c r="C15" s="6" t="inlineStr">
        <is>
          <t>9.0%</t>
        </is>
      </c>
      <c r="D15" s="6" t="inlineStr">
        <is>
          <t>52.9%</t>
        </is>
      </c>
      <c r="E15" s="6" t="inlineStr">
        <is>
          <t>24.1h</t>
        </is>
      </c>
      <c r="F15" s="6" t="inlineStr">
        <is>
          <t>22.3h</t>
        </is>
      </c>
      <c r="G15" s="6" t="inlineStr">
        <is>
          <t>41.9h</t>
        </is>
      </c>
    </row>
    <row r="16" ht="18" customHeight="1">
      <c r="A16" s="5" t="inlineStr">
        <is>
          <t>Card</t>
        </is>
      </c>
      <c r="B16" s="13" t="n">
        <v>790</v>
      </c>
      <c r="C16" s="5" t="inlineStr">
        <is>
          <t>8.8%</t>
        </is>
      </c>
      <c r="D16" s="5" t="inlineStr">
        <is>
          <t>61.7%</t>
        </is>
      </c>
      <c r="E16" s="5" t="inlineStr">
        <is>
          <t>27.4h</t>
        </is>
      </c>
      <c r="F16" s="5" t="inlineStr">
        <is>
          <t>25.2h</t>
        </is>
      </c>
      <c r="G16" s="5" t="inlineStr">
        <is>
          <t>41.7h</t>
        </is>
      </c>
    </row>
    <row r="17" ht="18" customHeight="1">
      <c r="A17" s="6" t="inlineStr">
        <is>
          <t>Onboarding</t>
        </is>
      </c>
      <c r="B17" s="14" t="n">
        <v>706</v>
      </c>
      <c r="C17" s="6" t="inlineStr">
        <is>
          <t>7.9%</t>
        </is>
      </c>
      <c r="D17" s="6" t="inlineStr">
        <is>
          <t>69.5%</t>
        </is>
      </c>
      <c r="E17" s="6" t="inlineStr">
        <is>
          <t>21.4h</t>
        </is>
      </c>
      <c r="F17" s="6" t="inlineStr">
        <is>
          <t>20.1h</t>
        </is>
      </c>
      <c r="G17" s="6" t="inlineStr">
        <is>
          <t>37.8h</t>
        </is>
      </c>
    </row>
    <row r="18" ht="18" customHeight="1">
      <c r="A18" s="5" t="inlineStr">
        <is>
          <t>Other</t>
        </is>
      </c>
      <c r="B18" s="13" t="n">
        <v>656</v>
      </c>
      <c r="C18" s="5" t="inlineStr">
        <is>
          <t>7.3%</t>
        </is>
      </c>
      <c r="D18" s="5" t="inlineStr">
        <is>
          <t>76.8%</t>
        </is>
      </c>
      <c r="E18" s="5" t="inlineStr">
        <is>
          <t>44.8h</t>
        </is>
      </c>
      <c r="F18" s="5" t="inlineStr">
        <is>
          <t>33.8h</t>
        </is>
      </c>
      <c r="G18" s="5" t="inlineStr">
        <is>
          <t>14.7d</t>
        </is>
      </c>
    </row>
    <row r="19" ht="18" customHeight="1">
      <c r="A19" s="6" t="inlineStr">
        <is>
          <t>Cash In</t>
        </is>
      </c>
      <c r="B19" s="14" t="n">
        <v>411</v>
      </c>
      <c r="C19" s="6" t="inlineStr">
        <is>
          <t>4.6%</t>
        </is>
      </c>
      <c r="D19" s="6" t="inlineStr">
        <is>
          <t>81.4%</t>
        </is>
      </c>
      <c r="E19" s="6" t="inlineStr">
        <is>
          <t>22.5h</t>
        </is>
      </c>
      <c r="F19" s="6" t="inlineStr">
        <is>
          <t>18.3h</t>
        </is>
      </c>
      <c r="G19" s="6" t="inlineStr">
        <is>
          <t>3.3d</t>
        </is>
      </c>
    </row>
    <row r="20" ht="18" customHeight="1">
      <c r="A20" s="5" t="inlineStr">
        <is>
          <t>Outward Fund transfer</t>
        </is>
      </c>
      <c r="B20" s="13" t="n">
        <v>320</v>
      </c>
      <c r="C20" s="5" t="inlineStr">
        <is>
          <t>3.6%</t>
        </is>
      </c>
      <c r="D20" s="5" t="inlineStr">
        <is>
          <t>85.0%</t>
        </is>
      </c>
      <c r="E20" s="5" t="inlineStr">
        <is>
          <t>22.2h</t>
        </is>
      </c>
      <c r="F20" s="5" t="inlineStr">
        <is>
          <t>22.2h</t>
        </is>
      </c>
      <c r="G20" s="5" t="inlineStr">
        <is>
          <t>14.3h</t>
        </is>
      </c>
    </row>
    <row r="21" ht="18" customHeight="1">
      <c r="A21" s="6" t="inlineStr">
        <is>
          <t>Cardless Cash Out</t>
        </is>
      </c>
      <c r="B21" s="14" t="n">
        <v>311</v>
      </c>
      <c r="C21" s="6" t="inlineStr">
        <is>
          <t>3.5%</t>
        </is>
      </c>
      <c r="D21" s="6" t="inlineStr">
        <is>
          <t>88.4%</t>
        </is>
      </c>
      <c r="E21" s="6" t="inlineStr">
        <is>
          <t>19.2h</t>
        </is>
      </c>
      <c r="F21" s="6" t="inlineStr">
        <is>
          <t>20.9h</t>
        </is>
      </c>
      <c r="G21" s="6" t="inlineStr">
        <is>
          <t>12.4h</t>
        </is>
      </c>
    </row>
    <row r="22" ht="18" customHeight="1">
      <c r="A22" s="5" t="inlineStr">
        <is>
          <t>Account Management</t>
        </is>
      </c>
      <c r="B22" s="13" t="n">
        <v>266</v>
      </c>
      <c r="C22" s="5" t="inlineStr">
        <is>
          <t>3.0%</t>
        </is>
      </c>
      <c r="D22" s="5" t="inlineStr">
        <is>
          <t>91.4%</t>
        </is>
      </c>
      <c r="E22" s="5" t="inlineStr">
        <is>
          <t>28.8h</t>
        </is>
      </c>
      <c r="F22" s="5" t="inlineStr">
        <is>
          <t>25.8h</t>
        </is>
      </c>
      <c r="G22" s="5" t="inlineStr">
        <is>
          <t>30.3h</t>
        </is>
      </c>
    </row>
    <row r="23" ht="18" customHeight="1">
      <c r="A23" s="6" t="inlineStr">
        <is>
          <t>Compliance</t>
        </is>
      </c>
      <c r="B23" s="14" t="n">
        <v>220</v>
      </c>
      <c r="C23" s="6" t="inlineStr">
        <is>
          <t>2.5%</t>
        </is>
      </c>
      <c r="D23" s="6" t="inlineStr">
        <is>
          <t>93.9%</t>
        </is>
      </c>
      <c r="E23" s="6" t="inlineStr">
        <is>
          <t>2.8d</t>
        </is>
      </c>
      <c r="F23" s="6" t="inlineStr">
        <is>
          <t>23.9h</t>
        </is>
      </c>
      <c r="G23" s="6" t="inlineStr">
        <is>
          <t>23.7d</t>
        </is>
      </c>
    </row>
    <row r="24" ht="18" customHeight="1">
      <c r="A24" s="5" t="inlineStr">
        <is>
          <t>Infra</t>
        </is>
      </c>
      <c r="B24" s="13" t="n">
        <v>215</v>
      </c>
      <c r="C24" s="5" t="inlineStr">
        <is>
          <t>2.4%</t>
        </is>
      </c>
      <c r="D24" s="5" t="inlineStr">
        <is>
          <t>96.2%</t>
        </is>
      </c>
      <c r="E24" s="5" t="inlineStr">
        <is>
          <t>2.9d</t>
        </is>
      </c>
      <c r="F24" s="5" t="inlineStr">
        <is>
          <t>26.2h</t>
        </is>
      </c>
      <c r="G24" s="5" t="inlineStr">
        <is>
          <t>27.1d</t>
        </is>
      </c>
    </row>
    <row r="25" ht="18" customHeight="1">
      <c r="A25" s="6" t="inlineStr">
        <is>
          <t>P2P Transfer</t>
        </is>
      </c>
      <c r="B25" s="14" t="n">
        <v>83</v>
      </c>
      <c r="C25" s="6" t="inlineStr">
        <is>
          <t>0.9%</t>
        </is>
      </c>
      <c r="D25" s="6" t="inlineStr">
        <is>
          <t>97.2%</t>
        </is>
      </c>
      <c r="E25" s="6" t="inlineStr">
        <is>
          <t>19.6h</t>
        </is>
      </c>
      <c r="F25" s="6" t="inlineStr">
        <is>
          <t>22.3h</t>
        </is>
      </c>
      <c r="G25" s="6" t="inlineStr">
        <is>
          <t>14.3h</t>
        </is>
      </c>
    </row>
    <row r="26" ht="18" customHeight="1">
      <c r="A26" s="5" t="inlineStr">
        <is>
          <t>Bill Payment</t>
        </is>
      </c>
      <c r="B26" s="13" t="n">
        <v>75</v>
      </c>
      <c r="C26" s="5" t="inlineStr">
        <is>
          <t>0.8%</t>
        </is>
      </c>
      <c r="D26" s="5" t="inlineStr">
        <is>
          <t>98.0%</t>
        </is>
      </c>
      <c r="E26" s="5" t="inlineStr">
        <is>
          <t>22.9h</t>
        </is>
      </c>
      <c r="F26" s="5" t="inlineStr">
        <is>
          <t>23.3h</t>
        </is>
      </c>
      <c r="G26" s="5" t="inlineStr">
        <is>
          <t>14.4h</t>
        </is>
      </c>
    </row>
    <row r="27" ht="18" customHeight="1">
      <c r="A27" s="6" t="inlineStr">
        <is>
          <t>Cash Out</t>
        </is>
      </c>
      <c r="B27" s="14" t="n">
        <v>62</v>
      </c>
      <c r="C27" s="6" t="inlineStr">
        <is>
          <t>0.7%</t>
        </is>
      </c>
      <c r="D27" s="6" t="inlineStr">
        <is>
          <t>98.7%</t>
        </is>
      </c>
      <c r="E27" s="6" t="inlineStr">
        <is>
          <t>35.0h</t>
        </is>
      </c>
      <c r="F27" s="6" t="inlineStr">
        <is>
          <t>25.1h</t>
        </is>
      </c>
      <c r="G27" s="6" t="inlineStr">
        <is>
          <t>2.6d</t>
        </is>
      </c>
    </row>
    <row r="28" ht="18" customHeight="1">
      <c r="A28" s="5" t="inlineStr">
        <is>
          <t>Internal Requests</t>
        </is>
      </c>
      <c r="B28" s="13" t="n">
        <v>51</v>
      </c>
      <c r="C28" s="5" t="inlineStr">
        <is>
          <t>0.6%</t>
        </is>
      </c>
      <c r="D28" s="5" t="inlineStr">
        <is>
          <t>99.3%</t>
        </is>
      </c>
      <c r="E28" s="5" t="inlineStr">
        <is>
          <t>20.5h</t>
        </is>
      </c>
      <c r="F28" s="5" t="inlineStr">
        <is>
          <t>23.8h</t>
        </is>
      </c>
      <c r="G28" s="5" t="inlineStr">
        <is>
          <t>15.2h</t>
        </is>
      </c>
    </row>
    <row r="29" ht="18" customHeight="1">
      <c r="A29" s="6" t="inlineStr">
        <is>
          <t>Customer Complaint</t>
        </is>
      </c>
      <c r="B29" s="14" t="n">
        <v>31</v>
      </c>
      <c r="C29" s="6" t="inlineStr">
        <is>
          <t>0.3%</t>
        </is>
      </c>
      <c r="D29" s="6" t="inlineStr">
        <is>
          <t>99.6%</t>
        </is>
      </c>
      <c r="E29" s="6" t="inlineStr">
        <is>
          <t>14.2d</t>
        </is>
      </c>
      <c r="F29" s="6" t="inlineStr">
        <is>
          <t>44.7h</t>
        </is>
      </c>
      <c r="G29" s="6" t="inlineStr">
        <is>
          <t>70.5d</t>
        </is>
      </c>
    </row>
    <row r="30" ht="18" customHeight="1">
      <c r="A30" s="5" t="inlineStr">
        <is>
          <t>Promotions</t>
        </is>
      </c>
      <c r="B30" s="13" t="n">
        <v>23</v>
      </c>
      <c r="C30" s="5" t="inlineStr">
        <is>
          <t>0.3%</t>
        </is>
      </c>
      <c r="D30" s="5" t="inlineStr">
        <is>
          <t>99.9%</t>
        </is>
      </c>
      <c r="E30" s="5" t="inlineStr">
        <is>
          <t>16.9h</t>
        </is>
      </c>
      <c r="F30" s="5" t="inlineStr">
        <is>
          <t>18.8h</t>
        </is>
      </c>
      <c r="G30" s="5" t="inlineStr">
        <is>
          <t>14.3h</t>
        </is>
      </c>
    </row>
    <row r="31" ht="18" customHeight="1">
      <c r="A31" s="6" t="inlineStr">
        <is>
          <t>Fraud</t>
        </is>
      </c>
      <c r="B31" s="14" t="n">
        <v>7</v>
      </c>
      <c r="C31" s="6" t="inlineStr">
        <is>
          <t>0.1%</t>
        </is>
      </c>
      <c r="D31" s="6" t="inlineStr">
        <is>
          <t>99.9%</t>
        </is>
      </c>
      <c r="E31" s="6" t="inlineStr">
        <is>
          <t>20.0h</t>
        </is>
      </c>
      <c r="F31" s="6" t="inlineStr">
        <is>
          <t>23.7h</t>
        </is>
      </c>
      <c r="G31" s="6" t="inlineStr">
        <is>
          <t>19.1h</t>
        </is>
      </c>
    </row>
    <row r="32" ht="18" customHeight="1">
      <c r="A32" s="5" t="inlineStr">
        <is>
          <t>Airtime Top-Up</t>
        </is>
      </c>
      <c r="B32" s="13" t="n">
        <v>5</v>
      </c>
      <c r="C32" s="5" t="inlineStr">
        <is>
          <t>0.1%</t>
        </is>
      </c>
      <c r="D32" s="5" t="inlineStr">
        <is>
          <t>100.0%</t>
        </is>
      </c>
      <c r="E32" s="5" t="inlineStr">
        <is>
          <t>26.4h</t>
        </is>
      </c>
      <c r="F32" s="5" t="inlineStr">
        <is>
          <t>30.2h</t>
        </is>
      </c>
      <c r="G32" s="5" t="inlineStr">
        <is>
          <t>15.6h</t>
        </is>
      </c>
    </row>
    <row r="33" ht="10" customHeight="1"/>
    <row r="34" ht="26" customHeight="1">
      <c r="A34" s="3" t="inlineStr">
        <is>
          <t>Visual Analysis</t>
        </is>
      </c>
    </row>
    <row r="35" ht="16" customHeight="1">
      <c r="A35" s="8" t="inlineStr">
        <is>
          <t>Monthly incident volume with completion rate trend</t>
        </is>
      </c>
    </row>
    <row r="62" ht="16" customHeight="1">
      <c r="A62" s="8" t="inlineStr">
        <is>
          <t>Incident distribution by priority level</t>
        </is>
      </c>
    </row>
    <row r="89" ht="16" customHeight="1">
      <c r="A89" s="8" t="inlineStr">
        <is>
          <t>Top 10 incident categories by volume</t>
        </is>
      </c>
    </row>
    <row r="116" ht="10" customHeight="1"/>
    <row r="117" ht="26" customHeight="1">
      <c r="A117" s="9" t="inlineStr">
        <is>
          <t>🤖 AI Insight</t>
        </is>
      </c>
    </row>
    <row r="118" ht="30" customHeight="1">
      <c r="A118" s="11" t="inlineStr">
        <is>
          <t>📌 Finding: The SLA compliance rate of 64.2% is significantly below typical industry targets of 95%+, and the average Mean Time to Resolution (MTTR) of 29.4 hours indicates prolonged service disruptions. Furthermore, 20.0% (1794 of 8977) of all incidents are classified as high-severity (P1/P2), representing a substantial operational burden.</t>
        </is>
      </c>
    </row>
    <row r="119" ht="6" customHeight="1"/>
    <row r="120" ht="30" customHeight="1">
      <c r="A120" s="11" t="inlineStr">
        <is>
          <t>🔍 Root Cause: Analysis indicates the low SLA rate and high MTTR are primarily driven by the volume of P1/P2 incidents. With 1794 high-severity tickets, standard support workflows are overwhelmed, forcing triage delays and diverting resources from lower-severity issues, which subsequently breach SLA. The data suggests a reactive firefighting mode rather than proactive problem management, as evidenced by only 5 Major Incidents being formally declared despite the high P1/P2 count, indicating potential inconsistency in classification and response protocols.</t>
        </is>
      </c>
    </row>
    <row r="121" ht="6" customHeight="1"/>
    <row r="122" ht="30" customHeight="1">
      <c r="A122" s="11" t="inlineStr">
        <is>
          <t>💡 Recommendations:</t>
        </is>
      </c>
    </row>
    <row r="123" ht="30" customHeight="1">
      <c r="A123" s="10" t="inlineStr">
        <is>
          <t>1.  **Implement Automated Triage and Escalation:** Deploy an AIOps tool to auto-classify incoming tickets based on keywords and impact, ensuring consistent P1/P2 identification and immediate routing to dedicated senior engineering squads to reduce initial response latency.</t>
        </is>
      </c>
    </row>
    <row r="124" ht="30" customHeight="1">
      <c r="A124" s="10" t="inlineStr">
        <is>
          <t>2.  **Establish a Proactive Problem Management Process:** Mandate a root cause analysis (RCA) review for all repeated P1/P2 incidents. Formally declare a Major Incident for any outage affecting &gt;15% of users or critical revenue streams, triggering an executive war room and post-mortem process to prevent recurrence.</t>
        </is>
      </c>
    </row>
    <row r="125" ht="30" customHeight="1">
      <c r="A125" s="10" t="inlineStr">
        <is>
          <t>3.  **Create a Tier-0 Self-Service &amp; Knowledge Base:** Develop and promote a curated knowledge base for common low-severity issues (e.g., password resets, known errors), aiming to deflect at least 30% of Tier-1 support volume and free resources for high-severity incident resolution.</t>
        </is>
      </c>
    </row>
    <row r="126" ht="6" customHeight="1"/>
    <row r="127" ht="30" customHeight="1">
      <c r="A127" s="11" t="inlineStr">
        <is>
          <t>📈 Expected Impact: Implementing these measures is projected to increase the SLA compliance rate from 64.2% to 82-85% within two quarters by reducing MTTR for P1/P2 incidents by an estimated 35% (to ~19.1 hours) and deflecting a significant portion of low-severity tickets. This would also improve operational focus, reducing the effective P1/P2 burden on engineering teams by approximately 25%.</t>
        </is>
      </c>
    </row>
    <row r="128" ht="10" customHeight="1"/>
    <row r="129" ht="10" customHeight="1"/>
    <row r="130">
      <c r="A130" s="12" t="inlineStr">
        <is>
          <t>Generated by Customer Cross-Overview Report • 2026-01-30 23:00</t>
        </is>
      </c>
    </row>
  </sheetData>
  <mergeCells count="18">
    <mergeCell ref="A1:J1"/>
    <mergeCell ref="A5:J5"/>
    <mergeCell ref="A117:J117"/>
    <mergeCell ref="A118:J118"/>
    <mergeCell ref="A89:J89"/>
    <mergeCell ref="A123:J123"/>
    <mergeCell ref="A127:J127"/>
    <mergeCell ref="A62:J62"/>
    <mergeCell ref="A120:J120"/>
    <mergeCell ref="A122:J122"/>
    <mergeCell ref="A124:J124"/>
    <mergeCell ref="A34:J34"/>
    <mergeCell ref="A12:J12"/>
    <mergeCell ref="A4:J4"/>
    <mergeCell ref="A35:J35"/>
    <mergeCell ref="A130:J130"/>
    <mergeCell ref="A125:J125"/>
    <mergeCell ref="A2:J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f4444"/>
    <outlinePr summaryBelow="1" summaryRight="1"/>
    <pageSetUpPr fitToPage="1"/>
  </sheetPr>
  <dimension ref="A1:J124"/>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2" customWidth="1" min="8" max="8"/>
  </cols>
  <sheetData>
    <row r="1" ht="36" customHeight="1">
      <c r="A1" s="1" t="inlineStr">
        <is>
          <t>Incident SLA</t>
        </is>
      </c>
    </row>
    <row r="2" ht="22" customHeight="1">
      <c r="A2" s="2" t="inlineStr">
        <is>
          <t>2024-04-19 — 2025-07-06</t>
        </is>
      </c>
    </row>
    <row r="3" ht="10" customHeight="1"/>
    <row r="4" ht="26" customHeight="1">
      <c r="A4" s="3" t="inlineStr">
        <is>
          <t>Data Tables</t>
        </is>
      </c>
    </row>
    <row r="5" ht="26" customHeight="1">
      <c r="A5" s="3" t="inlineStr">
        <is>
          <t>SLA Summary</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3" t="n">
        <v>448</v>
      </c>
      <c r="D7" s="13" t="n">
        <v>31</v>
      </c>
      <c r="E7" s="13" t="n">
        <v>2</v>
      </c>
    </row>
    <row r="8" ht="18" customHeight="1">
      <c r="A8" s="6" t="inlineStr">
        <is>
          <t>P2</t>
        </is>
      </c>
      <c r="B8" s="6" t="inlineStr">
        <is>
          <t>15.5%</t>
        </is>
      </c>
      <c r="C8" s="14" t="n">
        <v>1346</v>
      </c>
      <c r="D8" s="14" t="n">
        <v>208</v>
      </c>
      <c r="E8" s="14" t="n">
        <v>6</v>
      </c>
    </row>
    <row r="9" ht="18" customHeight="1">
      <c r="A9" s="5" t="inlineStr">
        <is>
          <t>P3</t>
        </is>
      </c>
      <c r="B9" s="5" t="inlineStr">
        <is>
          <t>47.6%</t>
        </is>
      </c>
      <c r="C9" s="13" t="n">
        <v>3141</v>
      </c>
      <c r="D9" s="13" t="n">
        <v>1495</v>
      </c>
      <c r="E9" s="13" t="n">
        <v>24</v>
      </c>
    </row>
    <row r="10" ht="18" customHeight="1">
      <c r="A10" s="6" t="inlineStr">
        <is>
          <t>P4</t>
        </is>
      </c>
      <c r="B10" s="6" t="inlineStr">
        <is>
          <t>99.7%</t>
        </is>
      </c>
      <c r="C10" s="14" t="n">
        <v>4042</v>
      </c>
      <c r="D10" s="14" t="n">
        <v>4029</v>
      </c>
      <c r="E10" s="14" t="n">
        <v>48</v>
      </c>
    </row>
    <row r="11" ht="10" customHeight="1"/>
    <row r="12" ht="26" customHeight="1">
      <c r="A12" s="3" t="inlineStr">
        <is>
          <t>SLA Violations (Top 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38.5h</t>
        </is>
      </c>
      <c r="F14" s="5" t="inlineStr">
        <is>
          <t>Thomas Smith</t>
        </is>
      </c>
      <c r="G14" s="5" t="inlineStr">
        <is>
          <t>Completed</t>
        </is>
      </c>
      <c r="H14" s="5" t="inlineStr">
        <is>
          <t>Resolution exceeded by 38.5h</t>
        </is>
      </c>
    </row>
    <row r="15" ht="18" customHeight="1">
      <c r="A15" s="6" t="inlineStr">
        <is>
          <t>80000004</t>
        </is>
      </c>
      <c r="B15" s="6" t="inlineStr">
        <is>
          <t>P3</t>
        </is>
      </c>
      <c r="C15" s="6" t="inlineStr">
        <is>
          <t>Card</t>
        </is>
      </c>
      <c r="D15" s="6" t="inlineStr">
        <is>
          <t>Resolution</t>
        </is>
      </c>
      <c r="E15" s="6" t="inlineStr">
        <is>
          <t>23.2h</t>
        </is>
      </c>
      <c r="F15" s="6" t="inlineStr">
        <is>
          <t>Barbara Smith</t>
        </is>
      </c>
      <c r="G15" s="6" t="inlineStr">
        <is>
          <t>Completed</t>
        </is>
      </c>
      <c r="H15" s="6" t="inlineStr">
        <is>
          <t>Resolution exceeded by 23.2h</t>
        </is>
      </c>
    </row>
    <row r="16" ht="18" customHeight="1">
      <c r="A16" s="5" t="inlineStr">
        <is>
          <t>80000013</t>
        </is>
      </c>
      <c r="B16" s="5" t="inlineStr">
        <is>
          <t>P2</t>
        </is>
      </c>
      <c r="C16" s="5" t="inlineStr">
        <is>
          <t>Account Management</t>
        </is>
      </c>
      <c r="D16" s="5" t="inlineStr">
        <is>
          <t>Resolution</t>
        </is>
      </c>
      <c r="E16" s="5" t="inlineStr">
        <is>
          <t>20.3h</t>
        </is>
      </c>
      <c r="F16" s="5" t="inlineStr">
        <is>
          <t>Karen Smith</t>
        </is>
      </c>
      <c r="G16" s="5" t="inlineStr">
        <is>
          <t>Completed</t>
        </is>
      </c>
      <c r="H16" s="5" t="inlineStr">
        <is>
          <t>Resolution exceeded by 20.3h</t>
        </is>
      </c>
    </row>
    <row r="17" ht="18" customHeight="1">
      <c r="A17" s="6" t="inlineStr">
        <is>
          <t>80000016</t>
        </is>
      </c>
      <c r="B17" s="6" t="inlineStr">
        <is>
          <t>P3</t>
        </is>
      </c>
      <c r="C17" s="6" t="inlineStr">
        <is>
          <t>Compliance</t>
        </is>
      </c>
      <c r="D17" s="6" t="inlineStr">
        <is>
          <t>Resolution</t>
        </is>
      </c>
      <c r="E17" s="6" t="inlineStr">
        <is>
          <t>3.0h</t>
        </is>
      </c>
      <c r="F17" s="6" t="inlineStr">
        <is>
          <t>Jessica Smith</t>
        </is>
      </c>
      <c r="G17" s="6" t="inlineStr">
        <is>
          <t>Completed</t>
        </is>
      </c>
      <c r="H17" s="6" t="inlineStr">
        <is>
          <t>Resolution exceeded by 3.0h</t>
        </is>
      </c>
    </row>
    <row r="18" ht="18" customHeight="1">
      <c r="A18" s="5" t="inlineStr">
        <is>
          <t>80000018</t>
        </is>
      </c>
      <c r="B18" s="5" t="inlineStr">
        <is>
          <t>P3</t>
        </is>
      </c>
      <c r="C18" s="5" t="inlineStr">
        <is>
          <t>Cash In</t>
        </is>
      </c>
      <c r="D18" s="5" t="inlineStr">
        <is>
          <t>Resolution</t>
        </is>
      </c>
      <c r="E18" s="5" t="inlineStr">
        <is>
          <t>22.0h</t>
        </is>
      </c>
      <c r="F18" s="5" t="inlineStr">
        <is>
          <t>Lisa Smith</t>
        </is>
      </c>
      <c r="G18" s="5" t="inlineStr">
        <is>
          <t>Completed</t>
        </is>
      </c>
      <c r="H18" s="5" t="inlineStr">
        <is>
          <t>Resolution exceeded by 22.0h</t>
        </is>
      </c>
    </row>
    <row r="19" ht="18" customHeight="1">
      <c r="A19" s="6" t="inlineStr">
        <is>
          <t>80000020</t>
        </is>
      </c>
      <c r="B19" s="6" t="inlineStr">
        <is>
          <t>P3</t>
        </is>
      </c>
      <c r="C19" s="6" t="inlineStr">
        <is>
          <t>Digital View Monitoring</t>
        </is>
      </c>
      <c r="D19" s="6" t="inlineStr">
        <is>
          <t>Resolution</t>
        </is>
      </c>
      <c r="E19" s="6" t="inlineStr">
        <is>
          <t>6.0h</t>
        </is>
      </c>
      <c r="F19" s="6" t="inlineStr">
        <is>
          <t>Linda Smith</t>
        </is>
      </c>
      <c r="G19" s="6" t="inlineStr">
        <is>
          <t>Completed</t>
        </is>
      </c>
      <c r="H19" s="6" t="inlineStr">
        <is>
          <t>Resolution exceeded by 6.0h</t>
        </is>
      </c>
    </row>
    <row r="20" ht="18" customHeight="1">
      <c r="A20" s="5" t="inlineStr">
        <is>
          <t>80000023</t>
        </is>
      </c>
      <c r="B20" s="5" t="inlineStr">
        <is>
          <t>P3</t>
        </is>
      </c>
      <c r="C20" s="5" t="inlineStr">
        <is>
          <t>Digital View Monitoring</t>
        </is>
      </c>
      <c r="D20" s="5" t="inlineStr">
        <is>
          <t>Resolution</t>
        </is>
      </c>
      <c r="E20" s="5" t="inlineStr">
        <is>
          <t>13.2h</t>
        </is>
      </c>
      <c r="F20" s="5" t="inlineStr">
        <is>
          <t>Christopher Smith</t>
        </is>
      </c>
      <c r="G20" s="5" t="inlineStr">
        <is>
          <t>Completed</t>
        </is>
      </c>
      <c r="H20" s="5" t="inlineStr">
        <is>
          <t>Resolution exceeded by 13.2h</t>
        </is>
      </c>
    </row>
    <row r="21" ht="18" customHeight="1">
      <c r="A21" s="6" t="inlineStr">
        <is>
          <t>80000024</t>
        </is>
      </c>
      <c r="B21" s="6" t="inlineStr">
        <is>
          <t>P2</t>
        </is>
      </c>
      <c r="C21" s="6" t="inlineStr">
        <is>
          <t>Digital View Monitoring</t>
        </is>
      </c>
      <c r="D21" s="6" t="inlineStr">
        <is>
          <t>Resolution</t>
        </is>
      </c>
      <c r="E21" s="6" t="inlineStr">
        <is>
          <t>10.4h</t>
        </is>
      </c>
      <c r="F21" s="6" t="inlineStr">
        <is>
          <t>William Smith</t>
        </is>
      </c>
      <c r="G21" s="6" t="inlineStr">
        <is>
          <t>Completed</t>
        </is>
      </c>
      <c r="H21" s="6" t="inlineStr">
        <is>
          <t>Resolution exceeded by 10.4h</t>
        </is>
      </c>
    </row>
    <row r="22" ht="18" customHeight="1">
      <c r="A22" s="5" t="inlineStr">
        <is>
          <t>80000026</t>
        </is>
      </c>
      <c r="B22" s="5" t="inlineStr">
        <is>
          <t>P3</t>
        </is>
      </c>
      <c r="C22" s="5" t="inlineStr">
        <is>
          <t>International Money Transfer</t>
        </is>
      </c>
      <c r="D22" s="5" t="inlineStr">
        <is>
          <t>Resolution</t>
        </is>
      </c>
      <c r="E22" s="5" t="inlineStr">
        <is>
          <t>17.8h</t>
        </is>
      </c>
      <c r="F22" s="5" t="inlineStr">
        <is>
          <t>Barbara Smith</t>
        </is>
      </c>
      <c r="G22" s="5" t="inlineStr">
        <is>
          <t>Completed</t>
        </is>
      </c>
      <c r="H22" s="5" t="inlineStr">
        <is>
          <t>Resolution exceeded by 17.8h</t>
        </is>
      </c>
    </row>
    <row r="23" ht="18" customHeight="1">
      <c r="A23" s="6" t="inlineStr">
        <is>
          <t>80000027</t>
        </is>
      </c>
      <c r="B23" s="6" t="inlineStr">
        <is>
          <t>P3</t>
        </is>
      </c>
      <c r="C23" s="6" t="inlineStr">
        <is>
          <t>Other</t>
        </is>
      </c>
      <c r="D23" s="6" t="inlineStr">
        <is>
          <t>Resolution</t>
        </is>
      </c>
      <c r="E23" s="6" t="inlineStr">
        <is>
          <t>23.2h</t>
        </is>
      </c>
      <c r="F23" s="6" t="inlineStr">
        <is>
          <t>Barbara Smith</t>
        </is>
      </c>
      <c r="G23" s="6" t="inlineStr">
        <is>
          <t>Completed</t>
        </is>
      </c>
      <c r="H23" s="6" t="inlineStr">
        <is>
          <t>Resolution exceeded by 23.2h</t>
        </is>
      </c>
    </row>
    <row r="24" ht="18" customHeight="1">
      <c r="A24" s="5" t="inlineStr">
        <is>
          <t>80000028</t>
        </is>
      </c>
      <c r="B24" s="5" t="inlineStr">
        <is>
          <t>P2</t>
        </is>
      </c>
      <c r="C24" s="5" t="inlineStr">
        <is>
          <t>Onboarding</t>
        </is>
      </c>
      <c r="D24" s="5" t="inlineStr">
        <is>
          <t>Resolution</t>
        </is>
      </c>
      <c r="E24" s="5" t="inlineStr">
        <is>
          <t>23.9h</t>
        </is>
      </c>
      <c r="F24" s="5" t="inlineStr">
        <is>
          <t>Daniel Smith</t>
        </is>
      </c>
      <c r="G24" s="5" t="inlineStr">
        <is>
          <t>Completed</t>
        </is>
      </c>
      <c r="H24" s="5" t="inlineStr">
        <is>
          <t>Resolution exceeded by 23.9h</t>
        </is>
      </c>
    </row>
    <row r="25" ht="18" customHeight="1">
      <c r="A25" s="6" t="inlineStr">
        <is>
          <t>80000029</t>
        </is>
      </c>
      <c r="B25" s="6" t="inlineStr">
        <is>
          <t>P3</t>
        </is>
      </c>
      <c r="C25" s="6" t="inlineStr">
        <is>
          <t>Other</t>
        </is>
      </c>
      <c r="D25" s="6" t="inlineStr">
        <is>
          <t>Resolution</t>
        </is>
      </c>
      <c r="E25" s="6" t="inlineStr">
        <is>
          <t>21.9h</t>
        </is>
      </c>
      <c r="F25" s="6" t="inlineStr">
        <is>
          <t>Thomas Smith</t>
        </is>
      </c>
      <c r="G25" s="6" t="inlineStr">
        <is>
          <t>Completed</t>
        </is>
      </c>
      <c r="H25" s="6" t="inlineStr">
        <is>
          <t>Resolution exceeded by 21.9h</t>
        </is>
      </c>
    </row>
    <row r="26" ht="18" customHeight="1">
      <c r="A26" s="5" t="inlineStr">
        <is>
          <t>80000032</t>
        </is>
      </c>
      <c r="B26" s="5" t="inlineStr">
        <is>
          <t>P3</t>
        </is>
      </c>
      <c r="C26" s="5" t="inlineStr">
        <is>
          <t>Digital View Monitoring</t>
        </is>
      </c>
      <c r="D26" s="5" t="inlineStr">
        <is>
          <t>Resolution</t>
        </is>
      </c>
      <c r="E26" s="5" t="inlineStr">
        <is>
          <t>5.5h</t>
        </is>
      </c>
      <c r="F26" s="5" t="inlineStr">
        <is>
          <t>Michael Smith</t>
        </is>
      </c>
      <c r="G26" s="5" t="inlineStr">
        <is>
          <t>Completed</t>
        </is>
      </c>
      <c r="H26" s="5" t="inlineStr">
        <is>
          <t>Resolution exceeded by 5.5h</t>
        </is>
      </c>
    </row>
    <row r="27" ht="18" customHeight="1">
      <c r="A27" s="6" t="inlineStr">
        <is>
          <t>80000035</t>
        </is>
      </c>
      <c r="B27" s="6" t="inlineStr">
        <is>
          <t>P1</t>
        </is>
      </c>
      <c r="C27" s="6" t="inlineStr">
        <is>
          <t>Card</t>
        </is>
      </c>
      <c r="D27" s="6" t="inlineStr">
        <is>
          <t>Resolution</t>
        </is>
      </c>
      <c r="E27" s="6" t="inlineStr">
        <is>
          <t>23.2h</t>
        </is>
      </c>
      <c r="F27" s="6" t="inlineStr">
        <is>
          <t>Barbara Smith</t>
        </is>
      </c>
      <c r="G27" s="6" t="inlineStr">
        <is>
          <t>Completed</t>
        </is>
      </c>
      <c r="H27" s="6" t="inlineStr">
        <is>
          <t>Resolution exceeded by 23.2h</t>
        </is>
      </c>
    </row>
    <row r="28" ht="18" customHeight="1">
      <c r="A28" s="5" t="inlineStr">
        <is>
          <t>80000036</t>
        </is>
      </c>
      <c r="B28" s="5" t="inlineStr">
        <is>
          <t>P1</t>
        </is>
      </c>
      <c r="C28" s="5" t="inlineStr">
        <is>
          <t>International Money Transfer</t>
        </is>
      </c>
      <c r="D28" s="5" t="inlineStr">
        <is>
          <t>Resolution</t>
        </is>
      </c>
      <c r="E28" s="5" t="inlineStr">
        <is>
          <t>23.6h</t>
        </is>
      </c>
      <c r="F28" s="5" t="inlineStr">
        <is>
          <t>Michael Smith</t>
        </is>
      </c>
      <c r="G28" s="5" t="inlineStr">
        <is>
          <t>Completed</t>
        </is>
      </c>
      <c r="H28" s="5" t="inlineStr">
        <is>
          <t>Resolution exceeded by 23.6h</t>
        </is>
      </c>
    </row>
    <row r="29" ht="18" customHeight="1">
      <c r="A29" s="6" t="inlineStr">
        <is>
          <t>80000037</t>
        </is>
      </c>
      <c r="B29" s="6" t="inlineStr">
        <is>
          <t>P3</t>
        </is>
      </c>
      <c r="C29" s="6" t="inlineStr">
        <is>
          <t>Other</t>
        </is>
      </c>
      <c r="D29" s="6" t="inlineStr">
        <is>
          <t>Resolution</t>
        </is>
      </c>
      <c r="E29" s="6" t="inlineStr">
        <is>
          <t>22.5h</t>
        </is>
      </c>
      <c r="F29" s="6" t="inlineStr">
        <is>
          <t>Sarah Smith</t>
        </is>
      </c>
      <c r="G29" s="6" t="inlineStr">
        <is>
          <t>Completed</t>
        </is>
      </c>
      <c r="H29" s="6" t="inlineStr">
        <is>
          <t>Resolution exceeded by 22.5h</t>
        </is>
      </c>
    </row>
    <row r="30" ht="18" customHeight="1">
      <c r="A30" s="5" t="inlineStr">
        <is>
          <t>80000039</t>
        </is>
      </c>
      <c r="B30" s="5" t="inlineStr">
        <is>
          <t>P1</t>
        </is>
      </c>
      <c r="C30" s="5" t="inlineStr">
        <is>
          <t>Onboarding</t>
        </is>
      </c>
      <c r="D30" s="5" t="inlineStr">
        <is>
          <t>Resolution</t>
        </is>
      </c>
      <c r="E30" s="5" t="inlineStr">
        <is>
          <t>19.1h</t>
        </is>
      </c>
      <c r="F30" s="5" t="inlineStr">
        <is>
          <t>Jennifer Smith</t>
        </is>
      </c>
      <c r="G30" s="5" t="inlineStr">
        <is>
          <t>Completed</t>
        </is>
      </c>
      <c r="H30" s="5" t="inlineStr">
        <is>
          <t>Resolution exceeded by 19.1h</t>
        </is>
      </c>
    </row>
    <row r="31" ht="18" customHeight="1">
      <c r="A31" s="6" t="inlineStr">
        <is>
          <t>80000041</t>
        </is>
      </c>
      <c r="B31" s="6" t="inlineStr">
        <is>
          <t>P3</t>
        </is>
      </c>
      <c r="C31" s="6" t="inlineStr">
        <is>
          <t>International Money Transfer</t>
        </is>
      </c>
      <c r="D31" s="6" t="inlineStr">
        <is>
          <t>Resolution</t>
        </is>
      </c>
      <c r="E31" s="6" t="inlineStr">
        <is>
          <t>17.5h</t>
        </is>
      </c>
      <c r="F31" s="6" t="inlineStr">
        <is>
          <t>David Smith</t>
        </is>
      </c>
      <c r="G31" s="6" t="inlineStr">
        <is>
          <t>Completed</t>
        </is>
      </c>
      <c r="H31" s="6" t="inlineStr">
        <is>
          <t>Resolution exceeded by 17.5h</t>
        </is>
      </c>
    </row>
    <row r="32" ht="18" customHeight="1">
      <c r="A32" s="5" t="inlineStr">
        <is>
          <t>80000042</t>
        </is>
      </c>
      <c r="B32" s="5" t="inlineStr">
        <is>
          <t>P1</t>
        </is>
      </c>
      <c r="C32" s="5" t="inlineStr">
        <is>
          <t>Digital View Monitoring</t>
        </is>
      </c>
      <c r="D32" s="5" t="inlineStr">
        <is>
          <t>Resolution</t>
        </is>
      </c>
      <c r="E32" s="5" t="inlineStr">
        <is>
          <t>24.7h</t>
        </is>
      </c>
      <c r="F32" s="5" t="inlineStr">
        <is>
          <t>Karen Smith</t>
        </is>
      </c>
      <c r="G32" s="5" t="inlineStr">
        <is>
          <t>Completed</t>
        </is>
      </c>
      <c r="H32" s="5" t="inlineStr">
        <is>
          <t>Resolution exceeded by 24.7h</t>
        </is>
      </c>
    </row>
    <row r="33" ht="18" customHeight="1">
      <c r="A33" s="6" t="inlineStr">
        <is>
          <t>80000045</t>
        </is>
      </c>
      <c r="B33" s="6" t="inlineStr">
        <is>
          <t>P3</t>
        </is>
      </c>
      <c r="C33" s="6" t="inlineStr">
        <is>
          <t>Digital View Monitoring</t>
        </is>
      </c>
      <c r="D33" s="6" t="inlineStr">
        <is>
          <t>Resolution</t>
        </is>
      </c>
      <c r="E33" s="6" t="inlineStr">
        <is>
          <t>20.6h</t>
        </is>
      </c>
      <c r="F33" s="6" t="inlineStr">
        <is>
          <t>Jennifer Smith</t>
        </is>
      </c>
      <c r="G33" s="6" t="inlineStr">
        <is>
          <t>Completed</t>
        </is>
      </c>
      <c r="H33" s="6" t="inlineStr">
        <is>
          <t>Resolution exceeded by 20.6h</t>
        </is>
      </c>
    </row>
    <row r="34" ht="10" customHeight="1"/>
    <row r="35" ht="26" customHeight="1">
      <c r="A35" s="3" t="inlineStr">
        <is>
          <t>Violation Root Causes</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3" t="n">
        <v>3214</v>
      </c>
      <c r="C37" s="5" t="inlineStr">
        <is>
          <t>100.0%</t>
        </is>
      </c>
      <c r="D37" s="5" t="inlineStr">
        <is>
          <t>80000002</t>
        </is>
      </c>
      <c r="E37" s="5" t="inlineStr">
        <is>
          <t>Optimize assignment and escalation processes</t>
        </is>
      </c>
    </row>
    <row r="38" ht="10" customHeight="1"/>
    <row r="39" ht="26" customHeight="1">
      <c r="A39" s="3" t="inlineStr">
        <is>
          <t>Visual Analysis</t>
        </is>
      </c>
    </row>
    <row r="40" ht="16" customHeight="1">
      <c r="A40" s="8" t="inlineStr">
        <is>
          <t>Overall SLA compliance gauge</t>
        </is>
      </c>
    </row>
    <row r="60" ht="16" customHeight="1">
      <c r="A60" s="8" t="inlineStr">
        <is>
          <t>Monthly SLA compliance rate vs target</t>
        </is>
      </c>
    </row>
    <row r="87" ht="16" customHeight="1">
      <c r="A87" s="8" t="inlineStr">
        <is>
          <t>SLA violations breakdown by priority</t>
        </is>
      </c>
    </row>
    <row r="88">
      <c r="A88" s="15" t="inlineStr">
        <is>
          <t>SLA Violation Heatmap</t>
        </is>
      </c>
    </row>
    <row r="89">
      <c r="A89" t="inlineStr">
        <is>
          <t>Category</t>
        </is>
      </c>
      <c r="B89" t="inlineStr">
        <is>
          <t>Unknown</t>
        </is>
      </c>
    </row>
    <row r="90">
      <c r="A90" t="inlineStr">
        <is>
          <t>Account Management</t>
        </is>
      </c>
      <c r="B90" t="n">
        <v>0</v>
      </c>
    </row>
    <row r="91">
      <c r="A91" t="inlineStr">
        <is>
          <t>Airtime Top-Up</t>
        </is>
      </c>
      <c r="B91" t="n">
        <v>0</v>
      </c>
    </row>
    <row r="92">
      <c r="A92" t="inlineStr">
        <is>
          <t>Bill Payment</t>
        </is>
      </c>
      <c r="B92" t="n">
        <v>0</v>
      </c>
    </row>
    <row r="93">
      <c r="A93" t="inlineStr">
        <is>
          <t>Card</t>
        </is>
      </c>
      <c r="B93" t="n">
        <v>0</v>
      </c>
    </row>
    <row r="94">
      <c r="A94" t="inlineStr">
        <is>
          <t>Cardless Cash Out</t>
        </is>
      </c>
      <c r="B94" t="n">
        <v>0</v>
      </c>
    </row>
    <row r="95">
      <c r="A95" t="inlineStr">
        <is>
          <t>Cash In</t>
        </is>
      </c>
      <c r="B95" t="n">
        <v>0</v>
      </c>
    </row>
    <row r="96">
      <c r="A96" t="inlineStr">
        <is>
          <t>Cash Out</t>
        </is>
      </c>
      <c r="B96" t="n">
        <v>0</v>
      </c>
    </row>
    <row r="97">
      <c r="A97" t="inlineStr">
        <is>
          <t>Compliance</t>
        </is>
      </c>
      <c r="B97" t="n">
        <v>0</v>
      </c>
    </row>
    <row r="98">
      <c r="A98" t="inlineStr">
        <is>
          <t>Customer Complaint</t>
        </is>
      </c>
      <c r="B98" t="n">
        <v>0</v>
      </c>
    </row>
    <row r="99">
      <c r="A99" t="inlineStr">
        <is>
          <t>Digital View Monitoring</t>
        </is>
      </c>
      <c r="B99" t="n">
        <v>0</v>
      </c>
    </row>
    <row r="100">
      <c r="A100" t="inlineStr">
        <is>
          <t>Fraud</t>
        </is>
      </c>
      <c r="B100" t="n">
        <v>0</v>
      </c>
    </row>
    <row r="101">
      <c r="A101" t="inlineStr">
        <is>
          <t>Infra</t>
        </is>
      </c>
      <c r="B101" t="n">
        <v>0</v>
      </c>
    </row>
    <row r="102">
      <c r="A102" t="inlineStr">
        <is>
          <t>Internal Requests</t>
        </is>
      </c>
      <c r="B102" t="n">
        <v>0</v>
      </c>
    </row>
    <row r="103">
      <c r="A103" t="inlineStr">
        <is>
          <t>International Money Transfer</t>
        </is>
      </c>
      <c r="B103" t="n">
        <v>0</v>
      </c>
    </row>
    <row r="104">
      <c r="A104" t="inlineStr">
        <is>
          <t>Onboarding</t>
        </is>
      </c>
      <c r="B104" t="n">
        <v>0</v>
      </c>
    </row>
    <row r="105">
      <c r="A105" t="inlineStr">
        <is>
          <t>Other</t>
        </is>
      </c>
      <c r="B105" t="n">
        <v>0</v>
      </c>
    </row>
    <row r="106">
      <c r="A106" t="inlineStr">
        <is>
          <t>Outward Fund transfer</t>
        </is>
      </c>
      <c r="B106" t="n">
        <v>0</v>
      </c>
    </row>
    <row r="107">
      <c r="A107" t="inlineStr">
        <is>
          <t>P2P Transfer</t>
        </is>
      </c>
      <c r="B107" t="n">
        <v>0</v>
      </c>
    </row>
    <row r="108">
      <c r="A108" t="inlineStr">
        <is>
          <t>Promotions</t>
        </is>
      </c>
      <c r="B108" t="n">
        <v>0</v>
      </c>
    </row>
    <row r="110" ht="10" customHeight="1"/>
    <row r="111" ht="26" customHeight="1">
      <c r="A111" s="9" t="inlineStr">
        <is>
          <t>🤖 AI Insight</t>
        </is>
      </c>
    </row>
    <row r="112" ht="30" customHeight="1">
      <c r="A112" s="11" t="inlineStr">
        <is>
          <t>📌 Finding: Critical SLA compliance gaps exist, with P1 and P2 incidents missing targets by 4.9% and 84.5% respectively, driving an overall Health Score of only 33/100. While P4 compliance is excellent at 99.7%, P3 compliance is also suboptimal at 47.6%.</t>
        </is>
      </c>
    </row>
    <row r="113" ht="6" customHeight="1"/>
    <row r="114" ht="30" customHeight="1">
      <c r="A114" s="11" t="inlineStr">
        <is>
          <t>🔍 Root Cause: The data indicates a severe resource allocation and prioritization issue. The breach pattern shows an inverse relationship between incident urgency and compliance rate. The near-total failure on P1 (93.1% breach rate) and P2 (84.5% breach rate) incidents suggests either insufficient dedicated high-priority response capacity, ineffective triage processes routing too many incidents as P1/P2, or a systemic bottleneck in the initial response and investigation stages that prevents timely engagement.</t>
        </is>
      </c>
    </row>
    <row r="115" ht="6" customHeight="1"/>
    <row r="116" ht="30" customHeight="1">
      <c r="A116" s="11" t="inlineStr">
        <is>
          <t>💡 Recommendations:</t>
        </is>
      </c>
    </row>
    <row r="117" ht="30" customHeight="1">
      <c r="A117" s="10" t="inlineStr">
        <is>
          <t>1.  Implement a dedicated, cross-functional Critical Incident Response Team (CIRT) with defined on-call rotations, specifically mandated for all P1 and P2 incidents to ensure immediate engagement and ownership.</t>
        </is>
      </c>
    </row>
    <row r="118" ht="30" customHeight="1">
      <c r="A118" s="10" t="inlineStr">
        <is>
          <t>2.  Revise and automate the initial triage protocol with a dynamic questionnaire to reduce false-high priority classification and ensure resource alignment with genuine business impact.</t>
        </is>
      </c>
    </row>
    <row r="119" ht="30" customHeight="1">
      <c r="A119" s="10" t="inlineStr">
        <is>
          <t>3.  Introduce a mandatory root cause analysis (RCA) and remediation tracking process for all breached P1 and P2 incidents, with leadership review to address systemic technical or procedural flaws.</t>
        </is>
      </c>
    </row>
    <row r="120" ht="6" customHeight="1"/>
    <row r="121" ht="30" customHeight="1">
      <c r="A121" s="11" t="inlineStr">
        <is>
          <t>📈 Expected Impact: Implementing these measures is projected to elevate the overall Health Score from 33 to a target of 65+ within the next quarter. Specifically, P1 compliance should improve from 6.9% to 40-50%, and P2 compliance from 15.5% to 60-70%, while maintaining P4 excellence and improving P3 compliance.</t>
        </is>
      </c>
    </row>
    <row r="122" ht="10" customHeight="1"/>
    <row r="123" ht="10" customHeight="1"/>
    <row r="124">
      <c r="A124" s="12" t="inlineStr">
        <is>
          <t>Generated by Customer Cross-Overview Report • 2026-01-30 23:00</t>
        </is>
      </c>
    </row>
  </sheetData>
  <mergeCells count="19">
    <mergeCell ref="A116:J116"/>
    <mergeCell ref="A5:J5"/>
    <mergeCell ref="A35:J35"/>
    <mergeCell ref="A4:J4"/>
    <mergeCell ref="A121:J121"/>
    <mergeCell ref="A112:J112"/>
    <mergeCell ref="A117:J117"/>
    <mergeCell ref="A111:J111"/>
    <mergeCell ref="A40:J40"/>
    <mergeCell ref="A39:J39"/>
    <mergeCell ref="A114:J114"/>
    <mergeCell ref="A60:J60"/>
    <mergeCell ref="A1:J1"/>
    <mergeCell ref="A119:J119"/>
    <mergeCell ref="A124:J124"/>
    <mergeCell ref="A87:J87"/>
    <mergeCell ref="A118:J118"/>
    <mergeCell ref="A12:J12"/>
    <mergeCell ref="A2:J2"/>
  </mergeCells>
  <conditionalFormatting sqref="B90:B108">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2c55e"/>
    <outlinePr summaryBelow="1" summaryRight="1"/>
    <pageSetUpPr fitToPage="1"/>
  </sheetPr>
  <dimension ref="A1:J115"/>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Change Analysis</t>
        </is>
      </c>
    </row>
    <row r="2" ht="22" customHeight="1">
      <c r="A2" s="2" t="inlineStr">
        <is>
          <t>2024-04-19 — 2025-07-06</t>
        </is>
      </c>
    </row>
    <row r="3" ht="10" customHeight="1"/>
    <row r="4" ht="26" customHeight="1">
      <c r="A4" s="3" t="inlineStr">
        <is>
          <t>Data Tables</t>
        </is>
      </c>
    </row>
    <row r="5" ht="26" customHeight="1">
      <c r="A5" s="3" t="inlineStr">
        <is>
          <t>Change Type Breakdown</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3" t="n">
        <v>30</v>
      </c>
      <c r="C7" s="5" t="inlineStr">
        <is>
          <t>60.0%</t>
        </is>
      </c>
      <c r="D7" s="5" t="inlineStr">
        <is>
          <t>83.3%</t>
        </is>
      </c>
      <c r="E7" s="5" t="inlineStr">
        <is>
          <t>16.7%</t>
        </is>
      </c>
      <c r="F7" s="5" t="inlineStr">
        <is>
          <t>4.5</t>
        </is>
      </c>
    </row>
    <row r="8" ht="18" customHeight="1">
      <c r="A8" s="6" t="inlineStr">
        <is>
          <t>Standard</t>
        </is>
      </c>
      <c r="B8" s="14" t="n">
        <v>15</v>
      </c>
      <c r="C8" s="6" t="inlineStr">
        <is>
          <t>30.0%</t>
        </is>
      </c>
      <c r="D8" s="6" t="inlineStr">
        <is>
          <t>86.7%</t>
        </is>
      </c>
      <c r="E8" s="6" t="inlineStr">
        <is>
          <t>26.7%</t>
        </is>
      </c>
      <c r="F8" s="6" t="inlineStr">
        <is>
          <t>4.6</t>
        </is>
      </c>
    </row>
    <row r="9" ht="18" customHeight="1">
      <c r="A9" s="5" t="inlineStr">
        <is>
          <t>Emergency</t>
        </is>
      </c>
      <c r="B9" s="13" t="n">
        <v>5</v>
      </c>
      <c r="C9" s="5" t="inlineStr">
        <is>
          <t>10.0%</t>
        </is>
      </c>
      <c r="D9" s="5" t="inlineStr">
        <is>
          <t>80.0%</t>
        </is>
      </c>
      <c r="E9" s="5" t="inlineStr">
        <is>
          <t>0.0%</t>
        </is>
      </c>
      <c r="F9" s="5" t="inlineStr">
        <is>
          <t>2.8</t>
        </is>
      </c>
    </row>
    <row r="10" ht="10" customHeight="1"/>
    <row r="11" ht="26" customHeight="1">
      <c r="A11" s="3" t="inlineStr">
        <is>
          <t>Change Category Breakdown</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3" t="n">
        <v>16</v>
      </c>
      <c r="C13" s="5" t="inlineStr">
        <is>
          <t>93.8%</t>
        </is>
      </c>
      <c r="D13" s="13" t="n">
        <v>1</v>
      </c>
      <c r="E13" s="13" t="n">
        <v>2</v>
      </c>
      <c r="F13" s="5" t="inlineStr">
        <is>
          <t>High</t>
        </is>
      </c>
    </row>
    <row r="14" ht="18" customHeight="1">
      <c r="A14" s="6" t="inlineStr">
        <is>
          <t>Application</t>
        </is>
      </c>
      <c r="B14" s="14" t="n">
        <v>11</v>
      </c>
      <c r="C14" s="6" t="inlineStr">
        <is>
          <t>90.9%</t>
        </is>
      </c>
      <c r="D14" s="14" t="n">
        <v>1</v>
      </c>
      <c r="E14" s="14" t="n">
        <v>2</v>
      </c>
      <c r="F14" s="6" t="inlineStr">
        <is>
          <t>High</t>
        </is>
      </c>
    </row>
    <row r="15" ht="18" customHeight="1">
      <c r="A15" s="5" t="inlineStr">
        <is>
          <t>Database</t>
        </is>
      </c>
      <c r="B15" s="13" t="n">
        <v>9</v>
      </c>
      <c r="C15" s="5" t="inlineStr">
        <is>
          <t>77.8%</t>
        </is>
      </c>
      <c r="D15" s="13" t="n">
        <v>2</v>
      </c>
      <c r="E15" s="13" t="n">
        <v>1</v>
      </c>
      <c r="F15" s="5" t="inlineStr">
        <is>
          <t>High</t>
        </is>
      </c>
    </row>
    <row r="16" ht="18" customHeight="1">
      <c r="A16" s="6" t="inlineStr">
        <is>
          <t>Network</t>
        </is>
      </c>
      <c r="B16" s="14" t="n">
        <v>7</v>
      </c>
      <c r="C16" s="6" t="inlineStr">
        <is>
          <t>42.9%</t>
        </is>
      </c>
      <c r="D16" s="14" t="n">
        <v>4</v>
      </c>
      <c r="E16" s="14" t="n">
        <v>1</v>
      </c>
      <c r="F16" s="6" t="inlineStr">
        <is>
          <t>High</t>
        </is>
      </c>
    </row>
    <row r="17" ht="18" customHeight="1">
      <c r="A17" s="5" t="inlineStr">
        <is>
          <t>Security</t>
        </is>
      </c>
      <c r="B17" s="13" t="n">
        <v>7</v>
      </c>
      <c r="C17" s="5" t="inlineStr">
        <is>
          <t>100.0%</t>
        </is>
      </c>
      <c r="D17" s="13" t="n">
        <v>0</v>
      </c>
      <c r="E17" s="13" t="n">
        <v>3</v>
      </c>
      <c r="F17" s="5" t="inlineStr">
        <is>
          <t>High</t>
        </is>
      </c>
    </row>
    <row r="18" ht="10" customHeight="1"/>
    <row r="19" ht="26" customHeight="1">
      <c r="A19" s="3" t="inlineStr">
        <is>
          <t>Visual Analysis</t>
        </is>
      </c>
    </row>
    <row r="20" ht="16" customHeight="1">
      <c r="A20" s="8" t="inlineStr">
        <is>
          <t>Change distribution by type</t>
        </is>
      </c>
    </row>
    <row r="47" ht="16" customHeight="1">
      <c r="A47" s="8" t="inlineStr">
        <is>
          <t>Monthly change success rate trend</t>
        </is>
      </c>
    </row>
    <row r="74" ht="16" customHeight="1">
      <c r="A74" s="8" t="inlineStr">
        <is>
          <t>Change volume and failures by category</t>
        </is>
      </c>
    </row>
    <row r="101" ht="10" customHeight="1"/>
    <row r="102" ht="26" customHeight="1">
      <c r="A102" s="9" t="inlineStr">
        <is>
          <t>🤖 AI Insight</t>
        </is>
      </c>
    </row>
    <row r="103" ht="30" customHeight="1">
      <c r="A103" s="11" t="inlineStr">
        <is>
          <t>📌 Finding: Change success rate is 84.0% (42 successful changes out of 50), with an 18.0% change-induced incident rate (9 incidents caused by changes). This indicates that while most changes are successful, nearly one in five changes leads to an operational incident, suggesting quality or risk assessment gaps.</t>
        </is>
      </c>
    </row>
    <row r="104" ht="6" customHeight="1"/>
    <row r="105" ht="30" customHeight="1">
      <c r="A105" s="11" t="inlineStr">
        <is>
          <t>🔍 Root Cause: The 18.0% incident rate, coupled with 5 outright failures, points to inadequate pre-implementation validation and risk assessment. Specifically, 9 incidents from 50 changes imply that changes are often pushed without sufficient testing in staging environments or comprehensive rollback plans, leading to post-deployment disruptions even when the change itself is not classified as a total failure.</t>
        </is>
      </c>
    </row>
    <row r="106" ht="6" customHeight="1"/>
    <row r="107" ht="30" customHeight="1">
      <c r="A107" s="11" t="inlineStr">
        <is>
          <t>💡 Recommendations:</t>
        </is>
      </c>
    </row>
    <row r="108" ht="30" customHeight="1">
      <c r="A108" s="10" t="inlineStr">
        <is>
          <t>1. Implement mandatory peer review and risk assessment for all changes, requiring sign-off from both development and operations teams before deployment.</t>
        </is>
      </c>
    </row>
    <row r="109" ht="30" customHeight="1">
      <c r="A109" s="10" t="inlineStr">
        <is>
          <t>2. Introduce automated testing in a staging environment that mirrors production for all high-risk changes, with success criteria defined before implementation.</t>
        </is>
      </c>
    </row>
    <row r="110" ht="30" customHeight="1">
      <c r="A110" s="10" t="inlineStr">
        <is>
          <t>3. Develop and enforce standardized rollback procedures for every change to minimize incident duration and impact when issues arise.</t>
        </is>
      </c>
    </row>
    <row r="111" ht="6" customHeight="1"/>
    <row r="112" ht="30" customHeight="1">
      <c r="A112" s="11" t="inlineStr">
        <is>
          <t>📈 Expected Impact: Implementing these measures is expected to reduce the change-induced incident rate from 18.0% to below 10.0% within the next quarter, while increasing the overall change success rate from 84.0% to over 92.0%. This would translate to approximately 4 fewer incidents per 50 changes and 2-3 fewer failed changes.</t>
        </is>
      </c>
    </row>
    <row r="113" ht="10" customHeight="1"/>
    <row r="114" ht="10" customHeight="1"/>
    <row r="115">
      <c r="A115" s="12" t="inlineStr">
        <is>
          <t>Generated by Customer Cross-Overview Report • 2026-01-30 23:00</t>
        </is>
      </c>
    </row>
  </sheetData>
  <mergeCells count="18">
    <mergeCell ref="A107:J107"/>
    <mergeCell ref="A47:J47"/>
    <mergeCell ref="A1:J1"/>
    <mergeCell ref="A5:J5"/>
    <mergeCell ref="A102:J102"/>
    <mergeCell ref="A103:J103"/>
    <mergeCell ref="A115:J115"/>
    <mergeCell ref="A74:J74"/>
    <mergeCell ref="A110:J110"/>
    <mergeCell ref="A108:J108"/>
    <mergeCell ref="A105:J105"/>
    <mergeCell ref="A109:J109"/>
    <mergeCell ref="A4:J4"/>
    <mergeCell ref="A20:J20"/>
    <mergeCell ref="A2:J2"/>
    <mergeCell ref="A112:J112"/>
    <mergeCell ref="A19:J19"/>
    <mergeCell ref="A11:J11"/>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8b5cf6"/>
    <outlinePr summaryBelow="1" summaryRight="1"/>
    <pageSetUpPr fitToPage="1"/>
  </sheetPr>
  <dimension ref="A1:K150"/>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Request Analysis</t>
        </is>
      </c>
    </row>
    <row r="2" ht="22" customHeight="1">
      <c r="A2" s="2" t="inlineStr">
        <is>
          <t>2024-04-19 — 2025-07-06</t>
        </is>
      </c>
    </row>
    <row r="3" ht="10" customHeight="1"/>
    <row r="4" ht="26" customHeight="1">
      <c r="A4" s="3" t="inlineStr">
        <is>
          <t>Data Tables</t>
        </is>
      </c>
    </row>
    <row r="5" ht="26" customHeight="1">
      <c r="A5" s="3" t="inlineStr">
        <is>
          <t>Request Type Breakdown</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3" t="n">
        <v>20</v>
      </c>
      <c r="C7" s="5" t="inlineStr">
        <is>
          <t>40.0%</t>
        </is>
      </c>
      <c r="D7" s="5" t="inlineStr">
        <is>
          <t>65.0%</t>
        </is>
      </c>
      <c r="E7" s="5" t="inlineStr">
        <is>
          <t>24.6</t>
        </is>
      </c>
      <c r="F7" s="5" t="inlineStr">
        <is>
          <t>3.77</t>
        </is>
      </c>
    </row>
    <row r="8" ht="18" customHeight="1">
      <c r="A8" s="6" t="inlineStr">
        <is>
          <t>Provisioning</t>
        </is>
      </c>
      <c r="B8" s="14" t="n">
        <v>14</v>
      </c>
      <c r="C8" s="6" t="inlineStr">
        <is>
          <t>28.0%</t>
        </is>
      </c>
      <c r="D8" s="6" t="inlineStr">
        <is>
          <t>64.3%</t>
        </is>
      </c>
      <c r="E8" s="6" t="inlineStr">
        <is>
          <t>45.9</t>
        </is>
      </c>
      <c r="F8" s="6" t="inlineStr">
        <is>
          <t>3.56</t>
        </is>
      </c>
    </row>
    <row r="9" ht="18" customHeight="1">
      <c r="A9" s="5" t="inlineStr">
        <is>
          <t>Standard Change</t>
        </is>
      </c>
      <c r="B9" s="13" t="n">
        <v>7</v>
      </c>
      <c r="C9" s="5" t="inlineStr">
        <is>
          <t>14.0%</t>
        </is>
      </c>
      <c r="D9" s="5" t="inlineStr">
        <is>
          <t>57.1%</t>
        </is>
      </c>
      <c r="E9" s="5" t="inlineStr">
        <is>
          <t>41.2</t>
        </is>
      </c>
      <c r="F9" s="5" t="inlineStr">
        <is>
          <t>3.00</t>
        </is>
      </c>
    </row>
    <row r="10" ht="18" customHeight="1">
      <c r="A10" s="6" t="inlineStr">
        <is>
          <t>Information</t>
        </is>
      </c>
      <c r="B10" s="14" t="n">
        <v>9</v>
      </c>
      <c r="C10" s="6" t="inlineStr">
        <is>
          <t>18.0%</t>
        </is>
      </c>
      <c r="D10" s="6" t="inlineStr">
        <is>
          <t>77.8%</t>
        </is>
      </c>
      <c r="E10" s="6" t="inlineStr">
        <is>
          <t>39.3</t>
        </is>
      </c>
      <c r="F10" s="6" t="inlineStr">
        <is>
          <t>3.71</t>
        </is>
      </c>
    </row>
    <row r="11" ht="10" customHeight="1"/>
    <row r="12" ht="26" customHeight="1">
      <c r="A12" s="3" t="inlineStr">
        <is>
          <t>CSAT Distribution</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3" t="n">
        <v>10</v>
      </c>
      <c r="D14" s="5" t="inlineStr">
        <is>
          <t>30.3%</t>
        </is>
      </c>
      <c r="E14" s="5" t="inlineStr">
        <is>
          <t>30.3%</t>
        </is>
      </c>
    </row>
    <row r="15" ht="18" customHeight="1">
      <c r="A15" s="6" t="inlineStr">
        <is>
          <t>4</t>
        </is>
      </c>
      <c r="B15" s="6" t="inlineStr">
        <is>
          <t>Satisfied</t>
        </is>
      </c>
      <c r="C15" s="14" t="n">
        <v>9</v>
      </c>
      <c r="D15" s="6" t="inlineStr">
        <is>
          <t>27.3%</t>
        </is>
      </c>
      <c r="E15" s="6" t="inlineStr">
        <is>
          <t>57.6%</t>
        </is>
      </c>
    </row>
    <row r="16" ht="18" customHeight="1">
      <c r="A16" s="5" t="inlineStr">
        <is>
          <t>3</t>
        </is>
      </c>
      <c r="B16" s="5" t="inlineStr">
        <is>
          <t>Neutral</t>
        </is>
      </c>
      <c r="C16" s="13" t="n">
        <v>7</v>
      </c>
      <c r="D16" s="5" t="inlineStr">
        <is>
          <t>21.2%</t>
        </is>
      </c>
      <c r="E16" s="5" t="inlineStr">
        <is>
          <t>78.8%</t>
        </is>
      </c>
    </row>
    <row r="17" ht="18" customHeight="1">
      <c r="A17" s="6" t="inlineStr">
        <is>
          <t>2</t>
        </is>
      </c>
      <c r="B17" s="6" t="inlineStr">
        <is>
          <t>Dissatisfied</t>
        </is>
      </c>
      <c r="C17" s="14" t="n">
        <v>5</v>
      </c>
      <c r="D17" s="6" t="inlineStr">
        <is>
          <t>15.2%</t>
        </is>
      </c>
      <c r="E17" s="6" t="inlineStr">
        <is>
          <t>93.9%</t>
        </is>
      </c>
    </row>
    <row r="18" ht="18" customHeight="1">
      <c r="A18" s="5" t="inlineStr">
        <is>
          <t>1</t>
        </is>
      </c>
      <c r="B18" s="5" t="inlineStr">
        <is>
          <t>Very Dissatisfied</t>
        </is>
      </c>
      <c r="C18" s="13" t="n">
        <v>2</v>
      </c>
      <c r="D18" s="5" t="inlineStr">
        <is>
          <t>6.1%</t>
        </is>
      </c>
      <c r="E18" s="5" t="inlineStr">
        <is>
          <t>100.0%</t>
        </is>
      </c>
    </row>
    <row r="19" ht="10" customHeight="1"/>
    <row r="20" ht="26" customHeight="1">
      <c r="A20" s="3" t="inlineStr">
        <is>
          <t>Visual Analysis</t>
        </is>
      </c>
    </row>
    <row r="21" ht="16" customHeight="1">
      <c r="A21" s="8" t="inlineStr">
        <is>
          <t>Request distribution by type</t>
        </is>
      </c>
    </row>
    <row r="48" ht="16" customHeight="1">
      <c r="A48" s="8" t="inlineStr">
        <is>
          <t>Customer satisfaction score distribution</t>
        </is>
      </c>
    </row>
    <row r="75" ht="16" customHeight="1">
      <c r="A75" s="8" t="inlineStr">
        <is>
          <t>Monthly request volume and average CSAT</t>
        </is>
      </c>
    </row>
    <row r="102" ht="16" customHeight="1">
      <c r="A102" s="8" t="inlineStr">
        <is>
          <t>Fulfillment time statistics by request type</t>
        </is>
      </c>
    </row>
    <row r="129">
      <c r="A129" s="15" t="inlineStr">
        <is>
          <t>Request Type × Department Heatmap</t>
        </is>
      </c>
    </row>
    <row r="130">
      <c r="A130" t="inlineStr">
        <is>
          <t>Request Type</t>
        </is>
      </c>
      <c r="B130" t="inlineStr">
        <is>
          <t>Billing</t>
        </is>
      </c>
      <c r="C130" t="inlineStr">
        <is>
          <t>Customer Service</t>
        </is>
      </c>
      <c r="D130" t="inlineStr">
        <is>
          <t>Finance</t>
        </is>
      </c>
      <c r="E130" t="inlineStr">
        <is>
          <t>HR</t>
        </is>
      </c>
      <c r="F130" t="inlineStr">
        <is>
          <t>Marketing</t>
        </is>
      </c>
      <c r="G130" t="inlineStr">
        <is>
          <t>Network Operations</t>
        </is>
      </c>
      <c r="H130" t="inlineStr">
        <is>
          <t>Operations</t>
        </is>
      </c>
      <c r="I130" t="inlineStr">
        <is>
          <t>Product Management</t>
        </is>
      </c>
      <c r="J130" t="inlineStr">
        <is>
          <t>Sales</t>
        </is>
      </c>
      <c r="K130" t="inlineStr">
        <is>
          <t>Technical Support</t>
        </is>
      </c>
    </row>
    <row r="131">
      <c r="A131" t="inlineStr">
        <is>
          <t>Access</t>
        </is>
      </c>
      <c r="B131" t="n">
        <v>2</v>
      </c>
      <c r="C131" t="n">
        <v>0</v>
      </c>
      <c r="D131" t="n">
        <v>4</v>
      </c>
      <c r="E131" t="n">
        <v>3</v>
      </c>
      <c r="F131" t="n">
        <v>1</v>
      </c>
      <c r="G131" t="n">
        <v>4</v>
      </c>
      <c r="H131" t="n">
        <v>2</v>
      </c>
      <c r="I131" t="n">
        <v>4</v>
      </c>
      <c r="J131" t="n">
        <v>0</v>
      </c>
      <c r="K131" t="n">
        <v>0</v>
      </c>
    </row>
    <row r="132">
      <c r="A132" t="inlineStr">
        <is>
          <t>Information</t>
        </is>
      </c>
      <c r="B132" t="n">
        <v>1</v>
      </c>
      <c r="C132" t="n">
        <v>0</v>
      </c>
      <c r="D132" t="n">
        <v>0</v>
      </c>
      <c r="E132" t="n">
        <v>0</v>
      </c>
      <c r="F132" t="n">
        <v>1</v>
      </c>
      <c r="G132" t="n">
        <v>0</v>
      </c>
      <c r="H132" t="n">
        <v>2</v>
      </c>
      <c r="I132" t="n">
        <v>2</v>
      </c>
      <c r="J132" t="n">
        <v>2</v>
      </c>
      <c r="K132" t="n">
        <v>1</v>
      </c>
    </row>
    <row r="133">
      <c r="A133" t="inlineStr">
        <is>
          <t>Provisioning</t>
        </is>
      </c>
      <c r="B133" t="n">
        <v>1</v>
      </c>
      <c r="C133" t="n">
        <v>3</v>
      </c>
      <c r="D133" t="n">
        <v>2</v>
      </c>
      <c r="E133" t="n">
        <v>0</v>
      </c>
      <c r="F133" t="n">
        <v>2</v>
      </c>
      <c r="G133" t="n">
        <v>1</v>
      </c>
      <c r="H133" t="n">
        <v>1</v>
      </c>
      <c r="I133" t="n">
        <v>1</v>
      </c>
      <c r="J133" t="n">
        <v>2</v>
      </c>
      <c r="K133" t="n">
        <v>1</v>
      </c>
    </row>
    <row r="134">
      <c r="A134" t="inlineStr">
        <is>
          <t>Standard Change</t>
        </is>
      </c>
      <c r="B134" t="n">
        <v>1</v>
      </c>
      <c r="C134" t="n">
        <v>0</v>
      </c>
      <c r="D134" t="n">
        <v>0</v>
      </c>
      <c r="E134" t="n">
        <v>0</v>
      </c>
      <c r="F134" t="n">
        <v>0</v>
      </c>
      <c r="G134" t="n">
        <v>1</v>
      </c>
      <c r="H134" t="n">
        <v>1</v>
      </c>
      <c r="I134" t="n">
        <v>1</v>
      </c>
      <c r="J134" t="n">
        <v>3</v>
      </c>
      <c r="K134" t="n">
        <v>0</v>
      </c>
    </row>
    <row r="136" ht="10" customHeight="1"/>
    <row r="137" ht="26" customHeight="1">
      <c r="A137" s="9" t="inlineStr">
        <is>
          <t>🤖 AI Insight</t>
        </is>
      </c>
    </row>
    <row r="138" ht="30" customHeight="1">
      <c r="A138" s="11" t="inlineStr">
        <is>
          <t>📌 Finding: Customer satisfaction (CSAT) is suboptimal at 3.61/5 (72.2% of the maximum score), and service request fulfillment is below target with an SLA attainment rate of 75.8%.</t>
        </is>
      </c>
    </row>
    <row r="139" ht="6" customHeight="1"/>
    <row r="140" ht="30" customHeight="1">
      <c r="A140" s="11" t="inlineStr">
        <is>
          <t>🔍 Root Cause: The data indicates a direct correlation between SLA performance and CSAT. With nearly one in four requests (24.2%) missing their SLA, delayed resolution is a primary driver of customer dissatisfaction. The moderate CSAT score suggests that even requests meeting SLA may not consistently deliver a high-quality experience, pointing to potential issues in communication, solution accuracy, or first-contact resolution.</t>
        </is>
      </c>
    </row>
    <row r="141" ht="6" customHeight="1"/>
    <row r="142" ht="30" customHeight="1">
      <c r="A142" s="11" t="inlineStr">
        <is>
          <t>💡 Recommendations:</t>
        </is>
      </c>
    </row>
    <row r="143" ht="30" customHeight="1">
      <c r="A143" s="10" t="inlineStr">
        <is>
          <t>1.  Implement a daily review of aging tickets approaching SLA breach, assigning priority handling to reduce the backlog of overdue requests.</t>
        </is>
      </c>
    </row>
    <row r="144" ht="30" customHeight="1">
      <c r="A144" s="10" t="inlineStr">
        <is>
          <t>2.  Introduce mandatory post-resolution customer follow-up for all requests that missed SLA to close communication gaps and directly address dissatisfaction.</t>
        </is>
      </c>
    </row>
    <row r="145" ht="30" customHeight="1">
      <c r="A145" s="10" t="inlineStr">
        <is>
          <t>3.  Enhance agent training focused on first-contact resolution techniques and clear, proactive communication for all request types.</t>
        </is>
      </c>
    </row>
    <row r="146" ht="6" customHeight="1"/>
    <row r="147" ht="30" customHeight="1">
      <c r="A147" s="11" t="inlineStr">
        <is>
          <t>📈 Expected Impact: Implementing these measures is projected to increase the Request SLA Rate to 85-90% and elevate the CSAT score to 4.0/5 (80%) within the next quarter, representing a 10.5% improvement in satisfaction.</t>
        </is>
      </c>
    </row>
    <row r="148" ht="10" customHeight="1"/>
    <row r="149" ht="10" customHeight="1"/>
    <row r="150">
      <c r="A150" s="12" t="inlineStr">
        <is>
          <t>Generated by Customer Cross-Overview Report • 2026-01-30 23:00</t>
        </is>
      </c>
    </row>
  </sheetData>
  <mergeCells count="19">
    <mergeCell ref="A5:J5"/>
    <mergeCell ref="A150:J150"/>
    <mergeCell ref="A144:J144"/>
    <mergeCell ref="A140:J140"/>
    <mergeCell ref="A4:J4"/>
    <mergeCell ref="A20:J20"/>
    <mergeCell ref="A147:J147"/>
    <mergeCell ref="A102:J102"/>
    <mergeCell ref="A143:J143"/>
    <mergeCell ref="A48:J48"/>
    <mergeCell ref="A142:J142"/>
    <mergeCell ref="A138:J138"/>
    <mergeCell ref="A1:J1"/>
    <mergeCell ref="A137:J137"/>
    <mergeCell ref="A75:J75"/>
    <mergeCell ref="A145:J145"/>
    <mergeCell ref="A21:J21"/>
    <mergeCell ref="A12:J12"/>
    <mergeCell ref="A2:J2"/>
  </mergeCells>
  <conditionalFormatting sqref="B131:K134">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ab308"/>
    <outlinePr summaryBelow="1" summaryRight="1"/>
    <pageSetUpPr fitToPage="1"/>
  </sheetPr>
  <dimension ref="A1:J117"/>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Problem Analysis</t>
        </is>
      </c>
    </row>
    <row r="2" ht="22" customHeight="1">
      <c r="A2" s="2" t="inlineStr">
        <is>
          <t>2024-04-19 — 2025-07-06</t>
        </is>
      </c>
    </row>
    <row r="3" ht="10" customHeight="1"/>
    <row r="4" ht="26" customHeight="1">
      <c r="A4" s="3" t="inlineStr">
        <is>
          <t>Data Tables</t>
        </is>
      </c>
    </row>
    <row r="5" ht="26" customHeight="1">
      <c r="A5" s="3" t="inlineStr">
        <is>
          <t>Problem Status</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3" t="n">
        <v>14</v>
      </c>
      <c r="C7" s="5" t="inlineStr">
        <is>
          <t>28.0%</t>
        </is>
      </c>
      <c r="D7" s="5" t="inlineStr">
        <is>
          <t>412</t>
        </is>
      </c>
      <c r="E7" s="5" t="inlineStr">
        <is>
          <t>Prioritize permanent fix implementation</t>
        </is>
      </c>
    </row>
    <row r="8" ht="18" customHeight="1">
      <c r="A8" s="6" t="inlineStr">
        <is>
          <t>Resolved</t>
        </is>
      </c>
      <c r="B8" s="14" t="n">
        <v>16</v>
      </c>
      <c r="C8" s="6" t="inlineStr">
        <is>
          <t>32.0%</t>
        </is>
      </c>
      <c r="D8" s="6" t="inlineStr">
        <is>
          <t>408</t>
        </is>
      </c>
      <c r="E8" s="6" t="inlineStr">
        <is>
          <t>Verify fix effectiveness</t>
        </is>
      </c>
    </row>
    <row r="9" ht="18" customHeight="1">
      <c r="A9" s="5" t="inlineStr">
        <is>
          <t>Closed</t>
        </is>
      </c>
      <c r="B9" s="13" t="n">
        <v>8</v>
      </c>
      <c r="C9" s="5" t="inlineStr">
        <is>
          <t>16.0%</t>
        </is>
      </c>
      <c r="D9" s="5" t="inlineStr">
        <is>
          <t>410</t>
        </is>
      </c>
      <c r="E9" s="5" t="inlineStr">
        <is>
          <t>Archive and update knowledge base</t>
        </is>
      </c>
    </row>
    <row r="10" ht="18" customHeight="1">
      <c r="A10" s="6" t="inlineStr">
        <is>
          <t>Under Investigation</t>
        </is>
      </c>
      <c r="B10" s="14" t="n">
        <v>10</v>
      </c>
      <c r="C10" s="6" t="inlineStr">
        <is>
          <t>20.0%</t>
        </is>
      </c>
      <c r="D10" s="6" t="inlineStr">
        <is>
          <t>405</t>
        </is>
      </c>
      <c r="E10" s="6" t="inlineStr">
        <is>
          <t>Review and update status</t>
        </is>
      </c>
    </row>
    <row r="11" ht="18" customHeight="1">
      <c r="A11" s="5" t="inlineStr">
        <is>
          <t>New</t>
        </is>
      </c>
      <c r="B11" s="13" t="n">
        <v>2</v>
      </c>
      <c r="C11" s="5" t="inlineStr">
        <is>
          <t>4.0%</t>
        </is>
      </c>
      <c r="D11" s="5" t="inlineStr">
        <is>
          <t>411</t>
        </is>
      </c>
      <c r="E11" s="5" t="inlineStr">
        <is>
          <t>Review and update status</t>
        </is>
      </c>
    </row>
    <row r="12" ht="10" customHeight="1"/>
    <row r="13" ht="26" customHeight="1">
      <c r="A13" s="3" t="inlineStr">
        <is>
          <t>Root Cause Categories</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3" t="n">
        <v>15</v>
      </c>
      <c r="C15" s="5" t="inlineStr">
        <is>
          <t>30.0%</t>
        </is>
      </c>
      <c r="D15" s="13" t="n">
        <v>15</v>
      </c>
      <c r="E15" s="5" t="inlineStr">
        <is>
          <t>53.3%</t>
        </is>
      </c>
      <c r="F15" s="5" t="inlineStr">
        <is>
          <t>SMS notification delivery delays</t>
        </is>
      </c>
    </row>
    <row r="16" ht="18" customHeight="1">
      <c r="A16" s="6" t="inlineStr">
        <is>
          <t>Process Gap</t>
        </is>
      </c>
      <c r="B16" s="14" t="n">
        <v>8</v>
      </c>
      <c r="C16" s="6" t="inlineStr">
        <is>
          <t>16.0%</t>
        </is>
      </c>
      <c r="D16" s="14" t="n">
        <v>8</v>
      </c>
      <c r="E16" s="6" t="inlineStr">
        <is>
          <t>37.5%</t>
        </is>
      </c>
      <c r="F16" s="6" t="inlineStr">
        <is>
          <t>Web portal CSS rendering issues on mobile</t>
        </is>
      </c>
    </row>
    <row r="17" ht="18" customHeight="1">
      <c r="A17" s="5" t="inlineStr">
        <is>
          <t>Vendor Issue</t>
        </is>
      </c>
      <c r="B17" s="13" t="n">
        <v>11</v>
      </c>
      <c r="C17" s="5" t="inlineStr">
        <is>
          <t>22.0%</t>
        </is>
      </c>
      <c r="D17" s="13" t="n">
        <v>11</v>
      </c>
      <c r="E17" s="5" t="inlineStr">
        <is>
          <t>27.3%</t>
        </is>
      </c>
      <c r="F17" s="5" t="inlineStr">
        <is>
          <t>Payment gateway timeout for credit card transactions</t>
        </is>
      </c>
    </row>
    <row r="18" ht="18" customHeight="1">
      <c r="A18" s="6" t="inlineStr">
        <is>
          <t>Human Error</t>
        </is>
      </c>
      <c r="B18" s="14" t="n">
        <v>13</v>
      </c>
      <c r="C18" s="6" t="inlineStr">
        <is>
          <t>26.0%</t>
        </is>
      </c>
      <c r="D18" s="14" t="n">
        <v>13</v>
      </c>
      <c r="E18" s="6" t="inlineStr">
        <is>
          <t>23.1%</t>
        </is>
      </c>
      <c r="F18" s="6" t="inlineStr">
        <is>
          <t>Notification service message queue overflow</t>
        </is>
      </c>
    </row>
    <row r="19" ht="18" customHeight="1">
      <c r="A19" s="5" t="inlineStr">
        <is>
          <t>Unknown</t>
        </is>
      </c>
      <c r="B19" s="13" t="n">
        <v>3</v>
      </c>
      <c r="C19" s="5" t="inlineStr">
        <is>
          <t>6.0%</t>
        </is>
      </c>
      <c r="D19" s="13" t="n">
        <v>3</v>
      </c>
      <c r="E19" s="5" t="inlineStr">
        <is>
          <t>0.0%</t>
        </is>
      </c>
      <c r="F19" s="5" t="inlineStr">
        <is>
          <t>Intermittent billing calculation discrepancy</t>
        </is>
      </c>
    </row>
    <row r="20" ht="10" customHeight="1"/>
    <row r="21" ht="26" customHeight="1">
      <c r="A21" s="3" t="inlineStr">
        <is>
          <t>Visual Analysis</t>
        </is>
      </c>
    </row>
    <row r="22" ht="16" customHeight="1">
      <c r="A22" s="8" t="inlineStr">
        <is>
          <t>Problem status funnel distribution</t>
        </is>
      </c>
    </row>
    <row r="49" ht="16" customHeight="1">
      <c r="A49" s="8" t="inlineStr">
        <is>
          <t>Root cause category distribution</t>
        </is>
      </c>
    </row>
    <row r="76" ht="16" customHeight="1">
      <c r="A76" s="8" t="inlineStr">
        <is>
          <t>Monthly problem volume with cumulative trend</t>
        </is>
      </c>
    </row>
    <row r="103" ht="10" customHeight="1"/>
    <row r="104" ht="26" customHeight="1">
      <c r="A104" s="9" t="inlineStr">
        <is>
          <t>🤖 AI Insight</t>
        </is>
      </c>
    </row>
    <row r="105" ht="30" customHeight="1">
      <c r="A105" s="11" t="inlineStr">
        <is>
          <t>📌 Finding: Problem closure rate is 48.0% (24 of 50 problems closed), significantly below the industry benchmark of 80-90%. While the RCA completion rate is strong at 96.0%, this high rate is not translating into effective problem resolution and closure.</t>
        </is>
      </c>
    </row>
    <row r="106" ht="6" customHeight="1"/>
    <row r="107" ht="30" customHeight="1">
      <c r="A107" s="11" t="inlineStr">
        <is>
          <t>🔍 Root Cause: The data indicates a critical gap between root cause analysis and final resolution. With 5 problems remaining open and a low overall closure rate, the primary issue is a lack of structured follow-through after RCA. Specifically, the process for implementing corrective actions, validating their effectiveness, and formally closing the problem ticket is either inefficient or non-existent. The high RCA rate suggests analysis is being performed, but actions are stalling in the implementation or verification phases.</t>
        </is>
      </c>
    </row>
    <row r="108" ht="6" customHeight="1"/>
    <row r="109" ht="30" customHeight="1">
      <c r="A109" s="11" t="inlineStr">
        <is>
          <t>💡 Recommendations:</t>
        </is>
      </c>
    </row>
    <row r="110" ht="30" customHeight="1">
      <c r="A110" s="10" t="inlineStr">
        <is>
          <t>1.  Implement a formal Corrective Action Plan (CAP) tracker for every problem post-RCA, with assigned owners, clear deadlines, and mandatory progress updates at weekly operations reviews.</t>
        </is>
      </c>
    </row>
    <row r="111" ht="30" customHeight="1">
      <c r="A111" s="10" t="inlineStr">
        <is>
          <t>2.  Introduce a "Closure Gate" checklist requiring documented evidence of action implementation, verification of effectiveness (e.g., 7-day incident-free period), and stakeholder sign-off before a problem ticket can be closed.</t>
        </is>
      </c>
    </row>
    <row r="112" ht="30" customHeight="1">
      <c r="A112" s="10" t="inlineStr">
        <is>
          <t>3.  Assign dedicated Problem Resolution Owners for high-impact or aged open problems to drive accountability and cross-functional coordination for implementing solutions.</t>
        </is>
      </c>
    </row>
    <row r="113" ht="6" customHeight="1"/>
    <row r="114" ht="30" customHeight="1">
      <c r="A114" s="11" t="inlineStr">
        <is>
          <t>📈 Expected Impact: Implementing these measures is projected to increase the problem closure rate from 48.0% to 75.0% within the next quarter. The RCA rate is expected to remain above 95.0%, but with a higher proportion of RCAs leading to verified, closed solutions, thereby reducing recurring incidents and technical debt.</t>
        </is>
      </c>
    </row>
    <row r="115" ht="10" customHeight="1"/>
    <row r="116" ht="10" customHeight="1"/>
    <row r="117">
      <c r="A117" s="12" t="inlineStr">
        <is>
          <t>Generated by Customer Cross-Overview Report • 2026-01-30 23:00</t>
        </is>
      </c>
    </row>
  </sheetData>
  <mergeCells count="18">
    <mergeCell ref="A107:J107"/>
    <mergeCell ref="A1:J1"/>
    <mergeCell ref="A5:J5"/>
    <mergeCell ref="A117:J117"/>
    <mergeCell ref="A111:J111"/>
    <mergeCell ref="A22:J22"/>
    <mergeCell ref="A110:J110"/>
    <mergeCell ref="A21:J21"/>
    <mergeCell ref="A105:J105"/>
    <mergeCell ref="A109:J109"/>
    <mergeCell ref="A114:J114"/>
    <mergeCell ref="A4:J4"/>
    <mergeCell ref="A2:J2"/>
    <mergeCell ref="A104:J104"/>
    <mergeCell ref="A112:J112"/>
    <mergeCell ref="A76:J76"/>
    <mergeCell ref="A13:J13"/>
    <mergeCell ref="A49:J49"/>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6b6d4"/>
    <outlinePr summaryBelow="1" summaryRight="1"/>
    <pageSetUpPr fitToPage="1"/>
  </sheetPr>
  <dimension ref="A1:J59"/>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Cross-Process</t>
        </is>
      </c>
    </row>
    <row r="2" ht="22" customHeight="1">
      <c r="A2" s="2" t="inlineStr">
        <is>
          <t>2024-04-19 — 2025-07-06</t>
        </is>
      </c>
    </row>
    <row r="3" ht="10" customHeight="1"/>
    <row r="4" ht="26" customHeight="1">
      <c r="A4" s="3" t="inlineStr">
        <is>
          <t>Data Tables</t>
        </is>
      </c>
    </row>
    <row r="5" ht="26" customHeight="1">
      <c r="A5" s="3" t="inlineStr">
        <is>
          <t>Change → Incident Links</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3" t="n">
        <v>1</v>
      </c>
      <c r="D7" s="5" t="inlineStr">
        <is>
          <t>INC20250104754</t>
        </is>
      </c>
      <c r="E7" s="5" t="inlineStr">
        <is>
          <t>Medium</t>
        </is>
      </c>
    </row>
    <row r="8" ht="18" customHeight="1">
      <c r="A8" s="6" t="inlineStr">
        <is>
          <t>CHG20250100012</t>
        </is>
      </c>
      <c r="B8" s="6" t="inlineStr">
        <is>
          <t>Change</t>
        </is>
      </c>
      <c r="C8" s="14" t="n">
        <v>1</v>
      </c>
      <c r="D8" s="6" t="inlineStr">
        <is>
          <t>INC20250102030</t>
        </is>
      </c>
      <c r="E8" s="6" t="inlineStr">
        <is>
          <t>Medium</t>
        </is>
      </c>
    </row>
    <row r="9" ht="18" customHeight="1">
      <c r="A9" s="5" t="inlineStr">
        <is>
          <t>CHG20250100014</t>
        </is>
      </c>
      <c r="B9" s="5" t="inlineStr">
        <is>
          <t>Change</t>
        </is>
      </c>
      <c r="C9" s="13" t="n">
        <v>1</v>
      </c>
      <c r="D9" s="5" t="inlineStr">
        <is>
          <t>INC20250119034</t>
        </is>
      </c>
      <c r="E9" s="5" t="inlineStr">
        <is>
          <t>Medium</t>
        </is>
      </c>
    </row>
    <row r="10" ht="18" customHeight="1">
      <c r="A10" s="6" t="inlineStr">
        <is>
          <t>CHG20250100042</t>
        </is>
      </c>
      <c r="B10" s="6" t="inlineStr">
        <is>
          <t>Change</t>
        </is>
      </c>
      <c r="C10" s="14" t="n">
        <v>1</v>
      </c>
      <c r="D10" s="6" t="inlineStr">
        <is>
          <t>INC20250102787</t>
        </is>
      </c>
      <c r="E10" s="6" t="inlineStr">
        <is>
          <t>Medium</t>
        </is>
      </c>
    </row>
    <row r="11" ht="18" customHeight="1">
      <c r="A11" s="5" t="inlineStr">
        <is>
          <t>CHG20250100043</t>
        </is>
      </c>
      <c r="B11" s="5" t="inlineStr">
        <is>
          <t>Change</t>
        </is>
      </c>
      <c r="C11" s="13" t="n">
        <v>1</v>
      </c>
      <c r="D11" s="5" t="inlineStr">
        <is>
          <t>INC20250102757</t>
        </is>
      </c>
      <c r="E11" s="5" t="inlineStr">
        <is>
          <t>Medium</t>
        </is>
      </c>
    </row>
    <row r="12" ht="18" customHeight="1">
      <c r="A12" s="6" t="inlineStr">
        <is>
          <t>CHG20250100045</t>
        </is>
      </c>
      <c r="B12" s="6" t="inlineStr">
        <is>
          <t>Change</t>
        </is>
      </c>
      <c r="C12" s="14" t="n">
        <v>1</v>
      </c>
      <c r="D12" s="6" t="inlineStr">
        <is>
          <t>INC20250110441</t>
        </is>
      </c>
      <c r="E12" s="6" t="inlineStr">
        <is>
          <t>Medium</t>
        </is>
      </c>
    </row>
    <row r="13" ht="18" customHeight="1">
      <c r="A13" s="5" t="inlineStr">
        <is>
          <t>CHG20250100046</t>
        </is>
      </c>
      <c r="B13" s="5" t="inlineStr">
        <is>
          <t>Change</t>
        </is>
      </c>
      <c r="C13" s="13" t="n">
        <v>1</v>
      </c>
      <c r="D13" s="5" t="inlineStr">
        <is>
          <t>INC20250106437</t>
        </is>
      </c>
      <c r="E13" s="5" t="inlineStr">
        <is>
          <t>Medium</t>
        </is>
      </c>
    </row>
    <row r="14" ht="18" customHeight="1">
      <c r="A14" s="6" t="inlineStr">
        <is>
          <t>CHG20250100047</t>
        </is>
      </c>
      <c r="B14" s="6" t="inlineStr">
        <is>
          <t>Change</t>
        </is>
      </c>
      <c r="C14" s="14" t="n">
        <v>1</v>
      </c>
      <c r="D14" s="6" t="inlineStr">
        <is>
          <t>INC20250108502</t>
        </is>
      </c>
      <c r="E14" s="6" t="inlineStr">
        <is>
          <t>Medium</t>
        </is>
      </c>
    </row>
    <row r="15" ht="18" customHeight="1">
      <c r="A15" s="5" t="inlineStr">
        <is>
          <t>CHG20250100049</t>
        </is>
      </c>
      <c r="B15" s="5" t="inlineStr">
        <is>
          <t>Change</t>
        </is>
      </c>
      <c r="C15" s="13" t="n">
        <v>1</v>
      </c>
      <c r="D15" s="5" t="inlineStr">
        <is>
          <t>INC20250118780</t>
        </is>
      </c>
      <c r="E15" s="5" t="inlineStr">
        <is>
          <t>Medium</t>
        </is>
      </c>
    </row>
    <row r="16" ht="10" customHeight="1"/>
    <row r="17" ht="26" customHeight="1">
      <c r="A17" s="3" t="inlineStr">
        <is>
          <t>Visual Analysis</t>
        </is>
      </c>
    </row>
    <row r="18" ht="16" customHeight="1">
      <c r="A18" s="8" t="inlineStr">
        <is>
          <t>Cross-process flow: changes causing incidents</t>
        </is>
      </c>
    </row>
    <row r="45" ht="10" customHeight="1"/>
    <row r="46" ht="26" customHeight="1">
      <c r="A46" s="9" t="inlineStr">
        <is>
          <t>🤖 AI Insight</t>
        </is>
      </c>
    </row>
    <row r="47" ht="30" customHeight="1">
      <c r="A47" s="11" t="inlineStr">
        <is>
          <t>📌 Finding: The data reveals a critical imbalance, with 8,977 incidents vastly outnumbering changes, requests, and problems (each at 50). This indicates a reactive, incident-driven operational state. Furthermore, the low Health Score of 33/100 correlates with a high incident volume and a low problem identification rate, suggesting systemic issues are not being addressed at the root.</t>
        </is>
      </c>
    </row>
    <row r="48" ht="6" customHeight="1"/>
    <row r="49" ht="30" customHeight="1">
      <c r="A49" s="11" t="inlineStr">
        <is>
          <t>🔍 Root Cause: The primary root cause is a lack of proactive problem management and insufficient change control. With only 50 problems documented against 8,977 incidents, the problem-to-incident ratio is approximately 0.6%, far below the ITIL benchmark of 5-10%. This indicates that incidents are being repeatedly restored without identifying underlying causes. The low volume of changes (50) suggests a risk-averse or bottlenecked change process, preventing necessary proactive improvements that could reduce incident volume.</t>
        </is>
      </c>
    </row>
    <row r="50" ht="6" customHeight="1"/>
    <row r="51" ht="30" customHeight="1">
      <c r="A51" s="11" t="inlineStr">
        <is>
          <t>💡 Recommendations:</t>
        </is>
      </c>
    </row>
    <row r="52" ht="30" customHeight="1">
      <c r="A52" s="10" t="inlineStr">
        <is>
          <t>1.  **Implement Mandatory Problem-Logging Thresholds:** Establish a rule that any incident recurring three times within a 30-day period must trigger the automatic creation of a Problem record. Assign dedicated Problem Management resources to investigate these high-frequency incidents.</t>
        </is>
      </c>
    </row>
    <row r="53" ht="30" customHeight="1">
      <c r="A53" s="10" t="inlineStr">
        <is>
          <t>2.  **Launch a Proactive Change Initiative:** Analyze the top 10% of incident categories (approximately 900 incidents) and mandate at least one approved change per category aimed at root-cause elimination within the next quarter.</t>
        </is>
      </c>
    </row>
    <row r="54" ht="30" customHeight="1">
      <c r="A54" s="10" t="inlineStr">
        <is>
          <t>3.  **Integrate Cross-Process Metrics into Leadership Reviews:** Implement a dashboard for weekly operations reviews that explicitly shows the correlation between the number of Problems raised, Changes implemented, and the resulting trend in Incident volume.</t>
        </is>
      </c>
    </row>
    <row r="55" ht="6" customHeight="1"/>
    <row r="56" ht="30" customHeight="1">
      <c r="A56" s="11" t="inlineStr">
        <is>
          <t>📈 Expected Impact: Implementing these measures should shift operations from reactive to proactive. We expect to see the Problem-to-Incident ratio increase from 0.6% to at least 5.0% within two quarters. This focused problem and change activity should directly reduce preventable incidents, leading to a projected 15-20% decrease in total incident volume (approximately 1,350 - 1,800 fewer incidents) and a corresponding Health Score improvement of 20-25 points, moving it out of the "At Risk" category.</t>
        </is>
      </c>
    </row>
    <row r="57" ht="10" customHeight="1"/>
    <row r="58" ht="10" customHeight="1"/>
    <row r="59">
      <c r="A59" s="12" t="inlineStr">
        <is>
          <t>Generated by Customer Cross-Overview Report • 2026-01-30 23:00</t>
        </is>
      </c>
    </row>
  </sheetData>
  <mergeCells count="15">
    <mergeCell ref="A47:J47"/>
    <mergeCell ref="A1:J1"/>
    <mergeCell ref="A5:J5"/>
    <mergeCell ref="A46:J46"/>
    <mergeCell ref="A17:J17"/>
    <mergeCell ref="A18:J18"/>
    <mergeCell ref="A56:J56"/>
    <mergeCell ref="A53:J53"/>
    <mergeCell ref="A4:J4"/>
    <mergeCell ref="A59:J59"/>
    <mergeCell ref="A51:J51"/>
    <mergeCell ref="A2:J2"/>
    <mergeCell ref="A52:J52"/>
    <mergeCell ref="A54:J54"/>
    <mergeCell ref="A49:J49"/>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f97316"/>
    <outlinePr summaryBelow="1" summaryRight="1"/>
    <pageSetUpPr fitToPage="1"/>
  </sheetPr>
  <dimension ref="A1:T148"/>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2" customWidth="1" min="6" max="6"/>
    <col width="11" customWidth="1" min="7" max="7"/>
    <col width="10" customWidth="1" min="8" max="8"/>
    <col width="27" customWidth="1" min="9" max="9"/>
  </cols>
  <sheetData>
    <row r="1" ht="36" customHeight="1">
      <c r="A1" s="1" t="inlineStr">
        <is>
          <t>Personnel &amp; Efficiency</t>
        </is>
      </c>
    </row>
    <row r="2" ht="22" customHeight="1">
      <c r="A2" s="2" t="inlineStr">
        <is>
          <t>2024-04-19 — 2025-07-06</t>
        </is>
      </c>
    </row>
    <row r="3" ht="10" customHeight="1"/>
    <row r="4" ht="26" customHeight="1">
      <c r="A4" s="3" t="inlineStr">
        <is>
          <t>Data Tables</t>
        </is>
      </c>
    </row>
    <row r="5" ht="26" customHeight="1">
      <c r="A5" s="3" t="inlineStr">
        <is>
          <t>Personnel Performance</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3" t="n">
        <v>361</v>
      </c>
      <c r="C7" s="5" t="inlineStr">
        <is>
          <t>4.0%</t>
        </is>
      </c>
      <c r="D7" s="5" t="inlineStr">
        <is>
          <t>24.2h</t>
        </is>
      </c>
      <c r="E7" s="5" t="inlineStr">
        <is>
          <t>99.4%</t>
        </is>
      </c>
      <c r="F7" s="5" t="inlineStr">
        <is>
          <t>0.0%</t>
        </is>
      </c>
      <c r="G7" s="5" t="inlineStr">
        <is>
          <t>65.7%</t>
        </is>
      </c>
      <c r="H7" s="5" t="inlineStr">
        <is>
          <t>Fair</t>
        </is>
      </c>
      <c r="I7" s="5" t="inlineStr">
        <is>
          <t>Digital View Monitoring</t>
        </is>
      </c>
    </row>
    <row r="8" ht="18" customHeight="1">
      <c r="A8" s="6" t="inlineStr">
        <is>
          <t>Thomas Smith</t>
        </is>
      </c>
      <c r="B8" s="14" t="n">
        <v>389</v>
      </c>
      <c r="C8" s="6" t="inlineStr">
        <is>
          <t>4.3%</t>
        </is>
      </c>
      <c r="D8" s="6" t="inlineStr">
        <is>
          <t>2.2d</t>
        </is>
      </c>
      <c r="E8" s="6" t="inlineStr">
        <is>
          <t>99.5%</t>
        </is>
      </c>
      <c r="F8" s="6" t="inlineStr">
        <is>
          <t>0.0%</t>
        </is>
      </c>
      <c r="G8" s="6" t="inlineStr">
        <is>
          <t>63.5%</t>
        </is>
      </c>
      <c r="H8" s="6" t="inlineStr">
        <is>
          <t>Fair</t>
        </is>
      </c>
      <c r="I8" s="6" t="inlineStr">
        <is>
          <t>Digital View Monitoring</t>
        </is>
      </c>
    </row>
    <row r="9" ht="18" customHeight="1">
      <c r="A9" s="5" t="inlineStr">
        <is>
          <t>Elizabeth Smith</t>
        </is>
      </c>
      <c r="B9" s="13" t="n">
        <v>381</v>
      </c>
      <c r="C9" s="5" t="inlineStr">
        <is>
          <t>4.2%</t>
        </is>
      </c>
      <c r="D9" s="5" t="inlineStr">
        <is>
          <t>25.8h</t>
        </is>
      </c>
      <c r="E9" s="5" t="inlineStr">
        <is>
          <t>99.2%</t>
        </is>
      </c>
      <c r="F9" s="5" t="inlineStr">
        <is>
          <t>0.0%</t>
        </is>
      </c>
      <c r="G9" s="5" t="inlineStr">
        <is>
          <t>60.9%</t>
        </is>
      </c>
      <c r="H9" s="5" t="inlineStr">
        <is>
          <t>Fair</t>
        </is>
      </c>
      <c r="I9" s="5" t="inlineStr">
        <is>
          <t>Digital View Monitoring</t>
        </is>
      </c>
    </row>
    <row r="10" ht="18" customHeight="1">
      <c r="A10" s="6" t="inlineStr">
        <is>
          <t>Barbara Smith</t>
        </is>
      </c>
      <c r="B10" s="14" t="n">
        <v>374</v>
      </c>
      <c r="C10" s="6" t="inlineStr">
        <is>
          <t>4.2%</t>
        </is>
      </c>
      <c r="D10" s="6" t="inlineStr">
        <is>
          <t>23.4h</t>
        </is>
      </c>
      <c r="E10" s="6" t="inlineStr">
        <is>
          <t>100.0%</t>
        </is>
      </c>
      <c r="F10" s="6" t="inlineStr">
        <is>
          <t>0.0%</t>
        </is>
      </c>
      <c r="G10" s="6" t="inlineStr">
        <is>
          <t>68.7%</t>
        </is>
      </c>
      <c r="H10" s="6" t="inlineStr">
        <is>
          <t>Fair</t>
        </is>
      </c>
      <c r="I10" s="6" t="inlineStr">
        <is>
          <t>Digital View Monitoring</t>
        </is>
      </c>
    </row>
    <row r="11" ht="18" customHeight="1">
      <c r="A11" s="5" t="inlineStr">
        <is>
          <t>Jessica Smith</t>
        </is>
      </c>
      <c r="B11" s="13" t="n">
        <v>414</v>
      </c>
      <c r="C11" s="5" t="inlineStr">
        <is>
          <t>4.6%</t>
        </is>
      </c>
      <c r="D11" s="5" t="inlineStr">
        <is>
          <t>25.2h</t>
        </is>
      </c>
      <c r="E11" s="5" t="inlineStr">
        <is>
          <t>99.0%</t>
        </is>
      </c>
      <c r="F11" s="5" t="inlineStr">
        <is>
          <t>0.0%</t>
        </is>
      </c>
      <c r="G11" s="5" t="inlineStr">
        <is>
          <t>62.8%</t>
        </is>
      </c>
      <c r="H11" s="5" t="inlineStr">
        <is>
          <t>Fair</t>
        </is>
      </c>
      <c r="I11" s="5" t="inlineStr">
        <is>
          <t>Digital View Monitoring</t>
        </is>
      </c>
    </row>
    <row r="12" ht="18" customHeight="1">
      <c r="A12" s="6" t="inlineStr">
        <is>
          <t>Linda Smith</t>
        </is>
      </c>
      <c r="B12" s="14" t="n">
        <v>360</v>
      </c>
      <c r="C12" s="6" t="inlineStr">
        <is>
          <t>4.0%</t>
        </is>
      </c>
      <c r="D12" s="6" t="inlineStr">
        <is>
          <t>28.5h</t>
        </is>
      </c>
      <c r="E12" s="6" t="inlineStr">
        <is>
          <t>99.4%</t>
        </is>
      </c>
      <c r="F12" s="6" t="inlineStr">
        <is>
          <t>0.0%</t>
        </is>
      </c>
      <c r="G12" s="6" t="inlineStr">
        <is>
          <t>64.4%</t>
        </is>
      </c>
      <c r="H12" s="6" t="inlineStr">
        <is>
          <t>Fair</t>
        </is>
      </c>
      <c r="I12" s="6" t="inlineStr">
        <is>
          <t>Digital View Monitoring</t>
        </is>
      </c>
    </row>
    <row r="13" ht="18" customHeight="1">
      <c r="A13" s="5" t="inlineStr">
        <is>
          <t>Daniel Smith</t>
        </is>
      </c>
      <c r="B13" s="13" t="n">
        <v>375</v>
      </c>
      <c r="C13" s="5" t="inlineStr">
        <is>
          <t>4.2%</t>
        </is>
      </c>
      <c r="D13" s="5" t="inlineStr">
        <is>
          <t>2.1d</t>
        </is>
      </c>
      <c r="E13" s="5" t="inlineStr">
        <is>
          <t>99.5%</t>
        </is>
      </c>
      <c r="F13" s="5" t="inlineStr">
        <is>
          <t>0.0%</t>
        </is>
      </c>
      <c r="G13" s="5" t="inlineStr">
        <is>
          <t>63.2%</t>
        </is>
      </c>
      <c r="H13" s="5" t="inlineStr">
        <is>
          <t>Fair</t>
        </is>
      </c>
      <c r="I13" s="5" t="inlineStr">
        <is>
          <t>Digital View Monitoring</t>
        </is>
      </c>
    </row>
    <row r="14" ht="18" customHeight="1">
      <c r="A14" s="6" t="inlineStr">
        <is>
          <t>Sarah Smith</t>
        </is>
      </c>
      <c r="B14" s="14" t="n">
        <v>379</v>
      </c>
      <c r="C14" s="6" t="inlineStr">
        <is>
          <t>4.2%</t>
        </is>
      </c>
      <c r="D14" s="6" t="inlineStr">
        <is>
          <t>23.4h</t>
        </is>
      </c>
      <c r="E14" s="6" t="inlineStr">
        <is>
          <t>99.5%</t>
        </is>
      </c>
      <c r="F14" s="6" t="inlineStr">
        <is>
          <t>0.0%</t>
        </is>
      </c>
      <c r="G14" s="6" t="inlineStr">
        <is>
          <t>63.6%</t>
        </is>
      </c>
      <c r="H14" s="6" t="inlineStr">
        <is>
          <t>Fair</t>
        </is>
      </c>
      <c r="I14" s="6" t="inlineStr">
        <is>
          <t>Digital View Monitoring</t>
        </is>
      </c>
    </row>
    <row r="15" ht="18" customHeight="1">
      <c r="A15" s="5" t="inlineStr">
        <is>
          <t>Karen Smith</t>
        </is>
      </c>
      <c r="B15" s="13" t="n">
        <v>379</v>
      </c>
      <c r="C15" s="5" t="inlineStr">
        <is>
          <t>4.2%</t>
        </is>
      </c>
      <c r="D15" s="5" t="inlineStr">
        <is>
          <t>24.1h</t>
        </is>
      </c>
      <c r="E15" s="5" t="inlineStr">
        <is>
          <t>99.7%</t>
        </is>
      </c>
      <c r="F15" s="5" t="inlineStr">
        <is>
          <t>0.0%</t>
        </is>
      </c>
      <c r="G15" s="5" t="inlineStr">
        <is>
          <t>62.8%</t>
        </is>
      </c>
      <c r="H15" s="5" t="inlineStr">
        <is>
          <t>Fair</t>
        </is>
      </c>
      <c r="I15" s="5" t="inlineStr">
        <is>
          <t>Digital View Monitoring</t>
        </is>
      </c>
    </row>
    <row r="16" ht="18" customHeight="1">
      <c r="A16" s="6" t="inlineStr">
        <is>
          <t>Charles Smith</t>
        </is>
      </c>
      <c r="B16" s="14" t="n">
        <v>381</v>
      </c>
      <c r="C16" s="6" t="inlineStr">
        <is>
          <t>4.2%</t>
        </is>
      </c>
      <c r="D16" s="6" t="inlineStr">
        <is>
          <t>25.3h</t>
        </is>
      </c>
      <c r="E16" s="6" t="inlineStr">
        <is>
          <t>99.5%</t>
        </is>
      </c>
      <c r="F16" s="6" t="inlineStr">
        <is>
          <t>0.0%</t>
        </is>
      </c>
      <c r="G16" s="6" t="inlineStr">
        <is>
          <t>63.5%</t>
        </is>
      </c>
      <c r="H16" s="6" t="inlineStr">
        <is>
          <t>Fair</t>
        </is>
      </c>
      <c r="I16" s="6" t="inlineStr">
        <is>
          <t>Digital View Monitoring</t>
        </is>
      </c>
    </row>
    <row r="17" ht="18" customHeight="1">
      <c r="A17" s="5" t="inlineStr">
        <is>
          <t>Lisa Smith</t>
        </is>
      </c>
      <c r="B17" s="13" t="n">
        <v>375</v>
      </c>
      <c r="C17" s="5" t="inlineStr">
        <is>
          <t>4.2%</t>
        </is>
      </c>
      <c r="D17" s="5" t="inlineStr">
        <is>
          <t>28.2h</t>
        </is>
      </c>
      <c r="E17" s="5" t="inlineStr">
        <is>
          <t>99.2%</t>
        </is>
      </c>
      <c r="F17" s="5" t="inlineStr">
        <is>
          <t>0.0%</t>
        </is>
      </c>
      <c r="G17" s="5" t="inlineStr">
        <is>
          <t>59.5%</t>
        </is>
      </c>
      <c r="H17" s="5" t="inlineStr">
        <is>
          <t>Fair</t>
        </is>
      </c>
      <c r="I17" s="5" t="inlineStr">
        <is>
          <t>Digital View Monitoring</t>
        </is>
      </c>
    </row>
    <row r="18" ht="18" customHeight="1">
      <c r="A18" s="6" t="inlineStr">
        <is>
          <t>Jennifer Smith</t>
        </is>
      </c>
      <c r="B18" s="14" t="n">
        <v>360</v>
      </c>
      <c r="C18" s="6" t="inlineStr">
        <is>
          <t>4.0%</t>
        </is>
      </c>
      <c r="D18" s="6" t="inlineStr">
        <is>
          <t>24.5h</t>
        </is>
      </c>
      <c r="E18" s="6" t="inlineStr">
        <is>
          <t>99.7%</t>
        </is>
      </c>
      <c r="F18" s="6" t="inlineStr">
        <is>
          <t>0.0%</t>
        </is>
      </c>
      <c r="G18" s="6" t="inlineStr">
        <is>
          <t>63.1%</t>
        </is>
      </c>
      <c r="H18" s="6" t="inlineStr">
        <is>
          <t>Fair</t>
        </is>
      </c>
      <c r="I18" s="6" t="inlineStr">
        <is>
          <t>Digital View Monitoring</t>
        </is>
      </c>
    </row>
    <row r="19" ht="18" customHeight="1">
      <c r="A19" s="5" t="inlineStr">
        <is>
          <t>Christopher Smith</t>
        </is>
      </c>
      <c r="B19" s="13" t="n">
        <v>384</v>
      </c>
      <c r="C19" s="5" t="inlineStr">
        <is>
          <t>4.3%</t>
        </is>
      </c>
      <c r="D19" s="5" t="inlineStr">
        <is>
          <t>26.5h</t>
        </is>
      </c>
      <c r="E19" s="5" t="inlineStr">
        <is>
          <t>99.5%</t>
        </is>
      </c>
      <c r="F19" s="5" t="inlineStr">
        <is>
          <t>0.0%</t>
        </is>
      </c>
      <c r="G19" s="5" t="inlineStr">
        <is>
          <t>64.1%</t>
        </is>
      </c>
      <c r="H19" s="5" t="inlineStr">
        <is>
          <t>Fair</t>
        </is>
      </c>
      <c r="I19" s="5" t="inlineStr">
        <is>
          <t>Digital View Monitoring</t>
        </is>
      </c>
    </row>
    <row r="20" ht="18" customHeight="1">
      <c r="A20" s="6" t="inlineStr">
        <is>
          <t>William Smith</t>
        </is>
      </c>
      <c r="B20" s="14" t="n">
        <v>377</v>
      </c>
      <c r="C20" s="6" t="inlineStr">
        <is>
          <t>4.2%</t>
        </is>
      </c>
      <c r="D20" s="6" t="inlineStr">
        <is>
          <t>24.8h</t>
        </is>
      </c>
      <c r="E20" s="6" t="inlineStr">
        <is>
          <t>98.9%</t>
        </is>
      </c>
      <c r="F20" s="6" t="inlineStr">
        <is>
          <t>0.0%</t>
        </is>
      </c>
      <c r="G20" s="6" t="inlineStr">
        <is>
          <t>67.4%</t>
        </is>
      </c>
      <c r="H20" s="6" t="inlineStr">
        <is>
          <t>Fair</t>
        </is>
      </c>
      <c r="I20" s="6" t="inlineStr">
        <is>
          <t>Digital View Monitoring</t>
        </is>
      </c>
    </row>
    <row r="21" ht="18" customHeight="1">
      <c r="A21" s="5" t="inlineStr">
        <is>
          <t>Patricia Smith</t>
        </is>
      </c>
      <c r="B21" s="13" t="n">
        <v>376</v>
      </c>
      <c r="C21" s="5" t="inlineStr">
        <is>
          <t>4.2%</t>
        </is>
      </c>
      <c r="D21" s="5" t="inlineStr">
        <is>
          <t>26.4h</t>
        </is>
      </c>
      <c r="E21" s="5" t="inlineStr">
        <is>
          <t>100.0%</t>
        </is>
      </c>
      <c r="F21" s="5" t="inlineStr">
        <is>
          <t>0.0%</t>
        </is>
      </c>
      <c r="G21" s="5" t="inlineStr">
        <is>
          <t>67.6%</t>
        </is>
      </c>
      <c r="H21" s="5" t="inlineStr">
        <is>
          <t>Fair</t>
        </is>
      </c>
      <c r="I21" s="5" t="inlineStr">
        <is>
          <t>Digital View Monitoring</t>
        </is>
      </c>
    </row>
    <row r="22" ht="18" customHeight="1">
      <c r="A22" s="6" t="inlineStr">
        <is>
          <t>Joseph Smith</t>
        </is>
      </c>
      <c r="B22" s="14" t="n">
        <v>393</v>
      </c>
      <c r="C22" s="6" t="inlineStr">
        <is>
          <t>4.4%</t>
        </is>
      </c>
      <c r="D22" s="6" t="inlineStr">
        <is>
          <t>25.1h</t>
        </is>
      </c>
      <c r="E22" s="6" t="inlineStr">
        <is>
          <t>99.5%</t>
        </is>
      </c>
      <c r="F22" s="6" t="inlineStr">
        <is>
          <t>0.0%</t>
        </is>
      </c>
      <c r="G22" s="6" t="inlineStr">
        <is>
          <t>63.9%</t>
        </is>
      </c>
      <c r="H22" s="6" t="inlineStr">
        <is>
          <t>Fair</t>
        </is>
      </c>
      <c r="I22" s="6" t="inlineStr">
        <is>
          <t>Digital View Monitoring</t>
        </is>
      </c>
    </row>
    <row r="23" ht="18" customHeight="1">
      <c r="A23" s="5" t="inlineStr">
        <is>
          <t>Michael Smith</t>
        </is>
      </c>
      <c r="B23" s="13" t="n">
        <v>385</v>
      </c>
      <c r="C23" s="5" t="inlineStr">
        <is>
          <t>4.3%</t>
        </is>
      </c>
      <c r="D23" s="5" t="inlineStr">
        <is>
          <t>24.2h</t>
        </is>
      </c>
      <c r="E23" s="5" t="inlineStr">
        <is>
          <t>99.5%</t>
        </is>
      </c>
      <c r="F23" s="5" t="inlineStr">
        <is>
          <t>0.0%</t>
        </is>
      </c>
      <c r="G23" s="5" t="inlineStr">
        <is>
          <t>66.2%</t>
        </is>
      </c>
      <c r="H23" s="5" t="inlineStr">
        <is>
          <t>Fair</t>
        </is>
      </c>
      <c r="I23" s="5" t="inlineStr">
        <is>
          <t>Digital View Monitoring</t>
        </is>
      </c>
    </row>
    <row r="24" ht="18" customHeight="1">
      <c r="A24" s="6" t="inlineStr">
        <is>
          <t>David Smith</t>
        </is>
      </c>
      <c r="B24" s="14" t="n">
        <v>326</v>
      </c>
      <c r="C24" s="6" t="inlineStr">
        <is>
          <t>3.6%</t>
        </is>
      </c>
      <c r="D24" s="6" t="inlineStr">
        <is>
          <t>2.2d</t>
        </is>
      </c>
      <c r="E24" s="6" t="inlineStr">
        <is>
          <t>99.1%</t>
        </is>
      </c>
      <c r="F24" s="6" t="inlineStr">
        <is>
          <t>0.0%</t>
        </is>
      </c>
      <c r="G24" s="6" t="inlineStr">
        <is>
          <t>65.0%</t>
        </is>
      </c>
      <c r="H24" s="6" t="inlineStr">
        <is>
          <t>Fair</t>
        </is>
      </c>
      <c r="I24" s="6" t="inlineStr">
        <is>
          <t>Digital View Monitoring</t>
        </is>
      </c>
    </row>
    <row r="25" ht="18" customHeight="1">
      <c r="A25" s="5" t="inlineStr">
        <is>
          <t>John Smith</t>
        </is>
      </c>
      <c r="B25" s="13" t="n">
        <v>346</v>
      </c>
      <c r="C25" s="5" t="inlineStr">
        <is>
          <t>3.9%</t>
        </is>
      </c>
      <c r="D25" s="5" t="inlineStr">
        <is>
          <t>24.2h</t>
        </is>
      </c>
      <c r="E25" s="5" t="inlineStr">
        <is>
          <t>99.1%</t>
        </is>
      </c>
      <c r="F25" s="5" t="inlineStr">
        <is>
          <t>0.0%</t>
        </is>
      </c>
      <c r="G25" s="5" t="inlineStr">
        <is>
          <t>63.6%</t>
        </is>
      </c>
      <c r="H25" s="5" t="inlineStr">
        <is>
          <t>Fair</t>
        </is>
      </c>
      <c r="I25" s="5" t="inlineStr">
        <is>
          <t>Digital View Monitoring</t>
        </is>
      </c>
    </row>
    <row r="26" ht="18" customHeight="1">
      <c r="A26" s="6" t="inlineStr">
        <is>
          <t>Mary Smith</t>
        </is>
      </c>
      <c r="B26" s="14" t="n">
        <v>348</v>
      </c>
      <c r="C26" s="6" t="inlineStr">
        <is>
          <t>3.9%</t>
        </is>
      </c>
      <c r="D26" s="6" t="inlineStr">
        <is>
          <t>2.0d</t>
        </is>
      </c>
      <c r="E26" s="6" t="inlineStr">
        <is>
          <t>100.0%</t>
        </is>
      </c>
      <c r="F26" s="6" t="inlineStr">
        <is>
          <t>0.0%</t>
        </is>
      </c>
      <c r="G26" s="6" t="inlineStr">
        <is>
          <t>64.4%</t>
        </is>
      </c>
      <c r="H26" s="6" t="inlineStr">
        <is>
          <t>Fair</t>
        </is>
      </c>
      <c r="I26" s="6" t="inlineStr">
        <is>
          <t>Digital View Monitoring</t>
        </is>
      </c>
    </row>
    <row r="27" ht="18" customHeight="1">
      <c r="A27" s="5" t="inlineStr">
        <is>
          <t>Nancy Smith</t>
        </is>
      </c>
      <c r="B27" s="13" t="n">
        <v>380</v>
      </c>
      <c r="C27" s="5" t="inlineStr">
        <is>
          <t>4.2%</t>
        </is>
      </c>
      <c r="D27" s="5" t="inlineStr">
        <is>
          <t>23.8h</t>
        </is>
      </c>
      <c r="E27" s="5" t="inlineStr">
        <is>
          <t>99.2%</t>
        </is>
      </c>
      <c r="F27" s="5" t="inlineStr">
        <is>
          <t>0.0%</t>
        </is>
      </c>
      <c r="G27" s="5" t="inlineStr">
        <is>
          <t>67.4%</t>
        </is>
      </c>
      <c r="H27" s="5" t="inlineStr">
        <is>
          <t>Fair</t>
        </is>
      </c>
      <c r="I27" s="5" t="inlineStr">
        <is>
          <t>Digital View Monitoring</t>
        </is>
      </c>
    </row>
    <row r="28" ht="18" customHeight="1">
      <c r="A28" s="6" t="inlineStr">
        <is>
          <t>Robert Smith</t>
        </is>
      </c>
      <c r="B28" s="14" t="n">
        <v>354</v>
      </c>
      <c r="C28" s="6" t="inlineStr">
        <is>
          <t>3.9%</t>
        </is>
      </c>
      <c r="D28" s="6" t="inlineStr">
        <is>
          <t>26.4h</t>
        </is>
      </c>
      <c r="E28" s="6" t="inlineStr">
        <is>
          <t>99.7%</t>
        </is>
      </c>
      <c r="F28" s="6" t="inlineStr">
        <is>
          <t>0.0%</t>
        </is>
      </c>
      <c r="G28" s="6" t="inlineStr">
        <is>
          <t>63.0%</t>
        </is>
      </c>
      <c r="H28" s="6" t="inlineStr">
        <is>
          <t>Fair</t>
        </is>
      </c>
      <c r="I28" s="6" t="inlineStr">
        <is>
          <t>Digital View Monitoring</t>
        </is>
      </c>
    </row>
    <row r="29" ht="18" customHeight="1">
      <c r="A29" s="5" t="inlineStr">
        <is>
          <t>James Smith</t>
        </is>
      </c>
      <c r="B29" s="13" t="n">
        <v>385</v>
      </c>
      <c r="C29" s="5" t="inlineStr">
        <is>
          <t>4.3%</t>
        </is>
      </c>
      <c r="D29" s="5" t="inlineStr">
        <is>
          <t>24.6h</t>
        </is>
      </c>
      <c r="E29" s="5" t="inlineStr">
        <is>
          <t>99.7%</t>
        </is>
      </c>
      <c r="F29" s="5" t="inlineStr">
        <is>
          <t>0.0%</t>
        </is>
      </c>
      <c r="G29" s="5" t="inlineStr">
        <is>
          <t>64.4%</t>
        </is>
      </c>
      <c r="H29" s="5" t="inlineStr">
        <is>
          <t>Fair</t>
        </is>
      </c>
      <c r="I29" s="5" t="inlineStr">
        <is>
          <t>Digital View Monitoring</t>
        </is>
      </c>
    </row>
    <row r="30" ht="18" customHeight="1">
      <c r="A30" s="6" t="inlineStr">
        <is>
          <t>Richard Smith</t>
        </is>
      </c>
      <c r="B30" s="14" t="n">
        <v>395</v>
      </c>
      <c r="C30" s="6" t="inlineStr">
        <is>
          <t>4.4%</t>
        </is>
      </c>
      <c r="D30" s="6" t="inlineStr">
        <is>
          <t>25.1h</t>
        </is>
      </c>
      <c r="E30" s="6" t="inlineStr">
        <is>
          <t>98.7%</t>
        </is>
      </c>
      <c r="F30" s="6" t="inlineStr">
        <is>
          <t>0.0%</t>
        </is>
      </c>
      <c r="G30" s="6" t="inlineStr">
        <is>
          <t>62.5%</t>
        </is>
      </c>
      <c r="H30" s="6" t="inlineStr">
        <is>
          <t>Fair</t>
        </is>
      </c>
      <c r="I30" s="6" t="inlineStr">
        <is>
          <t>Digital View Monitoring</t>
        </is>
      </c>
    </row>
    <row r="31" ht="10" customHeight="1"/>
    <row r="32" ht="26" customHeight="1">
      <c r="A32" s="3" t="inlineStr">
        <is>
          <t>Workload Distribution</t>
        </is>
      </c>
    </row>
    <row r="33" ht="20" customHeight="1">
      <c r="A33" s="4" t="inlineStr">
        <is>
          <t>Level</t>
        </is>
      </c>
      <c r="B33" s="4" t="inlineStr">
        <is>
          <t>Count</t>
        </is>
      </c>
      <c r="C33" s="4" t="inlineStr">
        <is>
          <t>%</t>
        </is>
      </c>
      <c r="D33" s="4" t="inlineStr">
        <is>
          <t>Avg Events</t>
        </is>
      </c>
      <c r="E33" s="4" t="inlineStr">
        <is>
          <t>Suggestion</t>
        </is>
      </c>
    </row>
    <row r="34" ht="18" customHeight="1">
      <c r="A34" s="5" t="inlineStr">
        <is>
          <t>Light</t>
        </is>
      </c>
      <c r="B34" s="13" t="n">
        <v>7</v>
      </c>
      <c r="C34" s="5" t="inlineStr">
        <is>
          <t>29.2%</t>
        </is>
      </c>
      <c r="D34" s="5" t="inlineStr">
        <is>
          <t>350.7</t>
        </is>
      </c>
      <c r="E34" s="5" t="inlineStr">
        <is>
          <t>Consider additional assignments or cross-training</t>
        </is>
      </c>
    </row>
    <row r="35" ht="18" customHeight="1">
      <c r="A35" s="6" t="inlineStr">
        <is>
          <t>Normal</t>
        </is>
      </c>
      <c r="B35" s="14" t="n">
        <v>10</v>
      </c>
      <c r="C35" s="6" t="inlineStr">
        <is>
          <t>41.7%</t>
        </is>
      </c>
      <c r="D35" s="6" t="inlineStr">
        <is>
          <t>377.7</t>
        </is>
      </c>
      <c r="E35" s="6" t="inlineStr">
        <is>
          <t>Maintain current workload level</t>
        </is>
      </c>
    </row>
    <row r="36" ht="18" customHeight="1">
      <c r="A36" s="5" t="inlineStr">
        <is>
          <t>Heavy</t>
        </is>
      </c>
      <c r="B36" s="13" t="n">
        <v>6</v>
      </c>
      <c r="C36" s="5" t="inlineStr">
        <is>
          <t>25.0%</t>
        </is>
      </c>
      <c r="D36" s="5" t="inlineStr">
        <is>
          <t>388.5</t>
        </is>
      </c>
      <c r="E36" s="5" t="inlineStr">
        <is>
          <t>Monitor for burnout and consider redistribution</t>
        </is>
      </c>
    </row>
    <row r="37" ht="18" customHeight="1">
      <c r="A37" s="6" t="inlineStr">
        <is>
          <t>Overloaded</t>
        </is>
      </c>
      <c r="B37" s="14" t="n">
        <v>1</v>
      </c>
      <c r="C37" s="6" t="inlineStr">
        <is>
          <t>4.2%</t>
        </is>
      </c>
      <c r="D37" s="6" t="inlineStr">
        <is>
          <t>414.0</t>
        </is>
      </c>
      <c r="E37" s="6" t="inlineStr">
        <is>
          <t>Immediate workload redistribution needed</t>
        </is>
      </c>
    </row>
    <row r="38" ht="10" customHeight="1"/>
    <row r="39" ht="26" customHeight="1">
      <c r="A39" s="3" t="inlineStr">
        <is>
          <t>Skill Coverage</t>
        </is>
      </c>
    </row>
    <row r="40" ht="20" customHeight="1">
      <c r="A40" s="4" t="inlineStr">
        <is>
          <t>Category</t>
        </is>
      </c>
      <c r="B40" s="4" t="inlineStr">
        <is>
          <t>Handlers</t>
        </is>
      </c>
      <c r="C40" s="4" t="inlineStr">
        <is>
          <t>Primary</t>
        </is>
      </c>
      <c r="D40" s="4" t="inlineStr">
        <is>
          <t>Coverage</t>
        </is>
      </c>
      <c r="E40" s="4" t="inlineStr">
        <is>
          <t>Risk</t>
        </is>
      </c>
    </row>
    <row r="41" ht="18" customHeight="1">
      <c r="A41" s="5" t="inlineStr">
        <is>
          <t>Digital View Monitoring</t>
        </is>
      </c>
      <c r="B41" s="13" t="n">
        <v>24</v>
      </c>
      <c r="C41" s="5" t="inlineStr">
        <is>
          <t>Thomas Smith</t>
        </is>
      </c>
      <c r="D41" s="5" t="inlineStr">
        <is>
          <t>100.0%</t>
        </is>
      </c>
      <c r="E41" s="5" t="inlineStr">
        <is>
          <t>Low</t>
        </is>
      </c>
    </row>
    <row r="42" ht="18" customHeight="1">
      <c r="A42" s="6" t="inlineStr">
        <is>
          <t>Card</t>
        </is>
      </c>
      <c r="B42" s="14" t="n">
        <v>24</v>
      </c>
      <c r="C42" s="6" t="inlineStr">
        <is>
          <t>Jessica Smith</t>
        </is>
      </c>
      <c r="D42" s="6" t="inlineStr">
        <is>
          <t>100.0%</t>
        </is>
      </c>
      <c r="E42" s="6" t="inlineStr">
        <is>
          <t>Low</t>
        </is>
      </c>
    </row>
    <row r="43" ht="18" customHeight="1">
      <c r="A43" s="5" t="inlineStr">
        <is>
          <t>International Money Transfer</t>
        </is>
      </c>
      <c r="B43" s="13" t="n">
        <v>24</v>
      </c>
      <c r="C43" s="5" t="inlineStr">
        <is>
          <t>Sarah Smith</t>
        </is>
      </c>
      <c r="D43" s="5" t="inlineStr">
        <is>
          <t>100.0%</t>
        </is>
      </c>
      <c r="E43" s="5" t="inlineStr">
        <is>
          <t>Low</t>
        </is>
      </c>
    </row>
    <row r="44" ht="18" customHeight="1">
      <c r="A44" s="6" t="inlineStr">
        <is>
          <t>Outward Fund transfer</t>
        </is>
      </c>
      <c r="B44" s="14" t="n">
        <v>24</v>
      </c>
      <c r="C44" s="6" t="inlineStr">
        <is>
          <t>Patricia Smith</t>
        </is>
      </c>
      <c r="D44" s="6" t="inlineStr">
        <is>
          <t>100.0%</t>
        </is>
      </c>
      <c r="E44" s="6" t="inlineStr">
        <is>
          <t>Low</t>
        </is>
      </c>
    </row>
    <row r="45" ht="18" customHeight="1">
      <c r="A45" s="5" t="inlineStr">
        <is>
          <t>Onboarding</t>
        </is>
      </c>
      <c r="B45" s="13" t="n">
        <v>24</v>
      </c>
      <c r="C45" s="5" t="inlineStr">
        <is>
          <t>Barbara Smith</t>
        </is>
      </c>
      <c r="D45" s="5" t="inlineStr">
        <is>
          <t>100.0%</t>
        </is>
      </c>
      <c r="E45" s="5" t="inlineStr">
        <is>
          <t>Low</t>
        </is>
      </c>
    </row>
    <row r="46" ht="18" customHeight="1">
      <c r="A46" s="6" t="inlineStr">
        <is>
          <t>Account Management</t>
        </is>
      </c>
      <c r="B46" s="14" t="n">
        <v>24</v>
      </c>
      <c r="C46" s="6" t="inlineStr">
        <is>
          <t>Karen Smith</t>
        </is>
      </c>
      <c r="D46" s="6" t="inlineStr">
        <is>
          <t>100.0%</t>
        </is>
      </c>
      <c r="E46" s="6" t="inlineStr">
        <is>
          <t>Low</t>
        </is>
      </c>
    </row>
    <row r="47" ht="18" customHeight="1">
      <c r="A47" s="5" t="inlineStr">
        <is>
          <t>Compliance</t>
        </is>
      </c>
      <c r="B47" s="13" t="n">
        <v>24</v>
      </c>
      <c r="C47" s="5" t="inlineStr">
        <is>
          <t>Jessica Smith</t>
        </is>
      </c>
      <c r="D47" s="5" t="inlineStr">
        <is>
          <t>100.0%</t>
        </is>
      </c>
      <c r="E47" s="5" t="inlineStr">
        <is>
          <t>Low</t>
        </is>
      </c>
    </row>
    <row r="48" ht="18" customHeight="1">
      <c r="A48" s="6" t="inlineStr">
        <is>
          <t>Cash In</t>
        </is>
      </c>
      <c r="B48" s="14" t="n">
        <v>24</v>
      </c>
      <c r="C48" s="6" t="inlineStr">
        <is>
          <t>Christopher Smith</t>
        </is>
      </c>
      <c r="D48" s="6" t="inlineStr">
        <is>
          <t>100.0%</t>
        </is>
      </c>
      <c r="E48" s="6" t="inlineStr">
        <is>
          <t>Low</t>
        </is>
      </c>
    </row>
    <row r="49" ht="18" customHeight="1">
      <c r="A49" s="5" t="inlineStr">
        <is>
          <t>Other</t>
        </is>
      </c>
      <c r="B49" s="13" t="n">
        <v>24</v>
      </c>
      <c r="C49" s="5" t="inlineStr">
        <is>
          <t>Richard Smith</t>
        </is>
      </c>
      <c r="D49" s="5" t="inlineStr">
        <is>
          <t>100.0%</t>
        </is>
      </c>
      <c r="E49" s="5" t="inlineStr">
        <is>
          <t>Low</t>
        </is>
      </c>
    </row>
    <row r="50" ht="18" customHeight="1">
      <c r="A50" s="6" t="inlineStr">
        <is>
          <t>Infra</t>
        </is>
      </c>
      <c r="B50" s="14" t="n">
        <v>24</v>
      </c>
      <c r="C50" s="6" t="inlineStr">
        <is>
          <t>David Smith</t>
        </is>
      </c>
      <c r="D50" s="6" t="inlineStr">
        <is>
          <t>100.0%</t>
        </is>
      </c>
      <c r="E50" s="6" t="inlineStr">
        <is>
          <t>Low</t>
        </is>
      </c>
    </row>
    <row r="51" ht="18" customHeight="1">
      <c r="A51" s="5" t="inlineStr">
        <is>
          <t>Cardless Cash Out</t>
        </is>
      </c>
      <c r="B51" s="13" t="n">
        <v>24</v>
      </c>
      <c r="C51" s="5" t="inlineStr">
        <is>
          <t>Barbara Smith</t>
        </is>
      </c>
      <c r="D51" s="5" t="inlineStr">
        <is>
          <t>100.0%</t>
        </is>
      </c>
      <c r="E51" s="5" t="inlineStr">
        <is>
          <t>Low</t>
        </is>
      </c>
    </row>
    <row r="52" ht="18" customHeight="1">
      <c r="A52" s="6" t="inlineStr">
        <is>
          <t>Bill Payment</t>
        </is>
      </c>
      <c r="B52" s="14" t="n">
        <v>24</v>
      </c>
      <c r="C52" s="6" t="inlineStr">
        <is>
          <t>Daniel Smith</t>
        </is>
      </c>
      <c r="D52" s="6" t="inlineStr">
        <is>
          <t>100.0%</t>
        </is>
      </c>
      <c r="E52" s="6" t="inlineStr">
        <is>
          <t>Low</t>
        </is>
      </c>
    </row>
    <row r="53" ht="18" customHeight="1">
      <c r="A53" s="5" t="inlineStr">
        <is>
          <t>P2P Transfer</t>
        </is>
      </c>
      <c r="B53" s="13" t="n">
        <v>24</v>
      </c>
      <c r="C53" s="5" t="inlineStr">
        <is>
          <t>Sarah Smith</t>
        </is>
      </c>
      <c r="D53" s="5" t="inlineStr">
        <is>
          <t>100.0%</t>
        </is>
      </c>
      <c r="E53" s="5" t="inlineStr">
        <is>
          <t>Low</t>
        </is>
      </c>
    </row>
    <row r="54" ht="18" customHeight="1">
      <c r="A54" s="6" t="inlineStr">
        <is>
          <t>Cash Out</t>
        </is>
      </c>
      <c r="B54" s="14" t="n">
        <v>24</v>
      </c>
      <c r="C54" s="6" t="inlineStr">
        <is>
          <t>Joseph Smith</t>
        </is>
      </c>
      <c r="D54" s="6" t="inlineStr">
        <is>
          <t>100.0%</t>
        </is>
      </c>
      <c r="E54" s="6" t="inlineStr">
        <is>
          <t>Low</t>
        </is>
      </c>
    </row>
    <row r="55" ht="18" customHeight="1">
      <c r="A55" s="5" t="inlineStr">
        <is>
          <t>Internal Requests</t>
        </is>
      </c>
      <c r="B55" s="13" t="n">
        <v>23</v>
      </c>
      <c r="C55" s="5" t="inlineStr">
        <is>
          <t>Daniel Smith</t>
        </is>
      </c>
      <c r="D55" s="5" t="inlineStr">
        <is>
          <t>95.8%</t>
        </is>
      </c>
      <c r="E55" s="5" t="inlineStr">
        <is>
          <t>Low</t>
        </is>
      </c>
    </row>
    <row r="56" ht="18" customHeight="1">
      <c r="A56" s="6" t="inlineStr">
        <is>
          <t>Promotions</t>
        </is>
      </c>
      <c r="B56" s="14" t="n">
        <v>13</v>
      </c>
      <c r="C56" s="6" t="inlineStr">
        <is>
          <t>Joseph Smith</t>
        </is>
      </c>
      <c r="D56" s="6" t="inlineStr">
        <is>
          <t>54.2%</t>
        </is>
      </c>
      <c r="E56" s="6" t="inlineStr">
        <is>
          <t>Low</t>
        </is>
      </c>
    </row>
    <row r="57" ht="18" customHeight="1">
      <c r="A57" s="5" t="inlineStr">
        <is>
          <t>Customer Complaint</t>
        </is>
      </c>
      <c r="B57" s="13" t="n">
        <v>16</v>
      </c>
      <c r="C57" s="5" t="inlineStr">
        <is>
          <t>Joseph Smith</t>
        </is>
      </c>
      <c r="D57" s="5" t="inlineStr">
        <is>
          <t>66.7%</t>
        </is>
      </c>
      <c r="E57" s="5" t="inlineStr">
        <is>
          <t>Low</t>
        </is>
      </c>
    </row>
    <row r="58" ht="18" customHeight="1">
      <c r="A58" s="6" t="inlineStr">
        <is>
          <t>Fraud</t>
        </is>
      </c>
      <c r="B58" s="14" t="n">
        <v>7</v>
      </c>
      <c r="C58" s="6" t="inlineStr">
        <is>
          <t>Christopher Smith</t>
        </is>
      </c>
      <c r="D58" s="6" t="inlineStr">
        <is>
          <t>29.2%</t>
        </is>
      </c>
      <c r="E58" s="6" t="inlineStr">
        <is>
          <t>Low</t>
        </is>
      </c>
    </row>
    <row r="59" ht="18" customHeight="1">
      <c r="A59" s="5" t="inlineStr">
        <is>
          <t>Airtime Top-Up</t>
        </is>
      </c>
      <c r="B59" s="13" t="n">
        <v>5</v>
      </c>
      <c r="C59" s="5" t="inlineStr">
        <is>
          <t>Elizabeth Smith</t>
        </is>
      </c>
      <c r="D59" s="5" t="inlineStr">
        <is>
          <t>20.8%</t>
        </is>
      </c>
      <c r="E59" s="5" t="inlineStr">
        <is>
          <t>Low</t>
        </is>
      </c>
    </row>
    <row r="60" ht="10" customHeight="1"/>
    <row r="61" ht="26" customHeight="1">
      <c r="A61" s="3" t="inlineStr">
        <is>
          <t>Visual Analysis</t>
        </is>
      </c>
    </row>
    <row r="62" ht="16" customHeight="1">
      <c r="A62" s="8" t="inlineStr">
        <is>
          <t>Personnel workload distribution (top 15)</t>
        </is>
      </c>
    </row>
    <row r="89" ht="16" customHeight="1">
      <c r="A89" s="8" t="inlineStr">
        <is>
          <t>Top 10 personnel by ticket volume</t>
        </is>
      </c>
    </row>
    <row r="116">
      <c r="A116" s="15" t="inlineStr">
        <is>
          <t>Personnel Skill Heatmap</t>
        </is>
      </c>
    </row>
    <row r="117">
      <c r="A117" t="inlineStr">
        <is>
          <t>Resolver</t>
        </is>
      </c>
      <c r="B117" t="inlineStr">
        <is>
          <t>Account Management</t>
        </is>
      </c>
      <c r="C117" t="inlineStr">
        <is>
          <t>Airtime Top-Up</t>
        </is>
      </c>
      <c r="D117" t="inlineStr">
        <is>
          <t>Bill Payment</t>
        </is>
      </c>
      <c r="E117" t="inlineStr">
        <is>
          <t>Card</t>
        </is>
      </c>
      <c r="F117" t="inlineStr">
        <is>
          <t>Cardless Cash Out</t>
        </is>
      </c>
      <c r="G117" t="inlineStr">
        <is>
          <t>Cash In</t>
        </is>
      </c>
      <c r="H117" t="inlineStr">
        <is>
          <t>Cash Out</t>
        </is>
      </c>
      <c r="I117" t="inlineStr">
        <is>
          <t>Compliance</t>
        </is>
      </c>
      <c r="J117" t="inlineStr">
        <is>
          <t>Customer Complaint</t>
        </is>
      </c>
      <c r="K117" t="inlineStr">
        <is>
          <t>Digital View Monitoring</t>
        </is>
      </c>
      <c r="L117" t="inlineStr">
        <is>
          <t>Fraud</t>
        </is>
      </c>
      <c r="M117" t="inlineStr">
        <is>
          <t>Infra</t>
        </is>
      </c>
      <c r="N117" t="inlineStr">
        <is>
          <t>Internal Requests</t>
        </is>
      </c>
      <c r="O117" t="inlineStr">
        <is>
          <t>International Money Transfer</t>
        </is>
      </c>
      <c r="P117" t="inlineStr">
        <is>
          <t>Onboarding</t>
        </is>
      </c>
      <c r="Q117" t="inlineStr">
        <is>
          <t>Other</t>
        </is>
      </c>
      <c r="R117" t="inlineStr">
        <is>
          <t>Outward Fund transfer</t>
        </is>
      </c>
      <c r="S117" t="inlineStr">
        <is>
          <t>P2P Transfer</t>
        </is>
      </c>
      <c r="T117" t="inlineStr">
        <is>
          <t>Promotions</t>
        </is>
      </c>
    </row>
    <row r="118">
      <c r="A118" t="inlineStr">
        <is>
          <t>Charles Smith</t>
        </is>
      </c>
      <c r="B118" t="n">
        <v>12</v>
      </c>
      <c r="C118" t="n">
        <v>0</v>
      </c>
      <c r="D118" t="n">
        <v>3</v>
      </c>
      <c r="E118" t="n">
        <v>27</v>
      </c>
      <c r="F118" t="n">
        <v>14</v>
      </c>
      <c r="G118" t="n">
        <v>14</v>
      </c>
      <c r="H118" t="n">
        <v>1</v>
      </c>
      <c r="I118" t="n">
        <v>15</v>
      </c>
      <c r="J118" t="n">
        <v>1</v>
      </c>
      <c r="K118" t="n">
        <v>179</v>
      </c>
      <c r="L118" t="n">
        <v>1</v>
      </c>
      <c r="M118" t="n">
        <v>5</v>
      </c>
      <c r="N118" t="n">
        <v>0</v>
      </c>
      <c r="O118" t="n">
        <v>41</v>
      </c>
      <c r="P118" t="n">
        <v>21</v>
      </c>
      <c r="Q118" t="n">
        <v>26</v>
      </c>
      <c r="R118" t="n">
        <v>17</v>
      </c>
      <c r="S118" t="n">
        <v>2</v>
      </c>
      <c r="T118" t="n">
        <v>2</v>
      </c>
    </row>
    <row r="119">
      <c r="A119" t="inlineStr">
        <is>
          <t>Christopher Smith</t>
        </is>
      </c>
      <c r="B119" t="n">
        <v>13</v>
      </c>
      <c r="C119" t="n">
        <v>0</v>
      </c>
      <c r="D119" t="n">
        <v>3</v>
      </c>
      <c r="E119" t="n">
        <v>33</v>
      </c>
      <c r="F119" t="n">
        <v>16</v>
      </c>
      <c r="G119" t="n">
        <v>26</v>
      </c>
      <c r="H119" t="n">
        <v>2</v>
      </c>
      <c r="I119" t="n">
        <v>8</v>
      </c>
      <c r="J119" t="n">
        <v>3</v>
      </c>
      <c r="K119" t="n">
        <v>165</v>
      </c>
      <c r="L119" t="n">
        <v>1</v>
      </c>
      <c r="M119" t="n">
        <v>6</v>
      </c>
      <c r="N119" t="n">
        <v>3</v>
      </c>
      <c r="O119" t="n">
        <v>28</v>
      </c>
      <c r="P119" t="n">
        <v>31</v>
      </c>
      <c r="Q119" t="n">
        <v>26</v>
      </c>
      <c r="R119" t="n">
        <v>15</v>
      </c>
      <c r="S119" t="n">
        <v>5</v>
      </c>
      <c r="T119" t="n">
        <v>0</v>
      </c>
    </row>
    <row r="120">
      <c r="A120" t="inlineStr">
        <is>
          <t>Elizabeth Smith</t>
        </is>
      </c>
      <c r="B120" t="n">
        <v>13</v>
      </c>
      <c r="C120" t="n">
        <v>1</v>
      </c>
      <c r="D120" t="n">
        <v>2</v>
      </c>
      <c r="E120" t="n">
        <v>39</v>
      </c>
      <c r="F120" t="n">
        <v>8</v>
      </c>
      <c r="G120" t="n">
        <v>19</v>
      </c>
      <c r="H120" t="n">
        <v>3</v>
      </c>
      <c r="I120" t="n">
        <v>13</v>
      </c>
      <c r="J120" t="n">
        <v>1</v>
      </c>
      <c r="K120" t="n">
        <v>164</v>
      </c>
      <c r="L120" t="n">
        <v>1</v>
      </c>
      <c r="M120" t="n">
        <v>9</v>
      </c>
      <c r="N120" t="n">
        <v>2</v>
      </c>
      <c r="O120" t="n">
        <v>37</v>
      </c>
      <c r="P120" t="n">
        <v>29</v>
      </c>
      <c r="Q120" t="n">
        <v>22</v>
      </c>
      <c r="R120" t="n">
        <v>13</v>
      </c>
      <c r="S120" t="n">
        <v>5</v>
      </c>
      <c r="T120" t="n">
        <v>0</v>
      </c>
    </row>
    <row r="121">
      <c r="A121" t="inlineStr">
        <is>
          <t>James Smith</t>
        </is>
      </c>
      <c r="B121" t="n">
        <v>13</v>
      </c>
      <c r="C121" t="n">
        <v>0</v>
      </c>
      <c r="D121" t="n">
        <v>3</v>
      </c>
      <c r="E121" t="n">
        <v>31</v>
      </c>
      <c r="F121" t="n">
        <v>17</v>
      </c>
      <c r="G121" t="n">
        <v>16</v>
      </c>
      <c r="H121" t="n">
        <v>1</v>
      </c>
      <c r="I121" t="n">
        <v>10</v>
      </c>
      <c r="J121" t="n">
        <v>0</v>
      </c>
      <c r="K121" t="n">
        <v>171</v>
      </c>
      <c r="L121" t="n">
        <v>0</v>
      </c>
      <c r="M121" t="n">
        <v>5</v>
      </c>
      <c r="N121" t="n">
        <v>3</v>
      </c>
      <c r="O121" t="n">
        <v>38</v>
      </c>
      <c r="P121" t="n">
        <v>32</v>
      </c>
      <c r="Q121" t="n">
        <v>26</v>
      </c>
      <c r="R121" t="n">
        <v>16</v>
      </c>
      <c r="S121" t="n">
        <v>3</v>
      </c>
      <c r="T121" t="n">
        <v>0</v>
      </c>
    </row>
    <row r="122">
      <c r="A122" t="inlineStr">
        <is>
          <t>Jessica Smith</t>
        </is>
      </c>
      <c r="B122" t="n">
        <v>14</v>
      </c>
      <c r="C122" t="n">
        <v>0</v>
      </c>
      <c r="D122" t="n">
        <v>4</v>
      </c>
      <c r="E122" t="n">
        <v>44</v>
      </c>
      <c r="F122" t="n">
        <v>13</v>
      </c>
      <c r="G122" t="n">
        <v>16</v>
      </c>
      <c r="H122" t="n">
        <v>2</v>
      </c>
      <c r="I122" t="n">
        <v>17</v>
      </c>
      <c r="J122" t="n">
        <v>0</v>
      </c>
      <c r="K122" t="n">
        <v>176</v>
      </c>
      <c r="L122" t="n">
        <v>0</v>
      </c>
      <c r="M122" t="n">
        <v>6</v>
      </c>
      <c r="N122" t="n">
        <v>2</v>
      </c>
      <c r="O122" t="n">
        <v>41</v>
      </c>
      <c r="P122" t="n">
        <v>33</v>
      </c>
      <c r="Q122" t="n">
        <v>26</v>
      </c>
      <c r="R122" t="n">
        <v>15</v>
      </c>
      <c r="S122" t="n">
        <v>4</v>
      </c>
      <c r="T122" t="n">
        <v>1</v>
      </c>
    </row>
    <row r="123">
      <c r="A123" t="inlineStr">
        <is>
          <t>Joseph Smith</t>
        </is>
      </c>
      <c r="B123" t="n">
        <v>10</v>
      </c>
      <c r="C123" t="n">
        <v>0</v>
      </c>
      <c r="D123" t="n">
        <v>3</v>
      </c>
      <c r="E123" t="n">
        <v>40</v>
      </c>
      <c r="F123" t="n">
        <v>19</v>
      </c>
      <c r="G123" t="n">
        <v>10</v>
      </c>
      <c r="H123" t="n">
        <v>5</v>
      </c>
      <c r="I123" t="n">
        <v>8</v>
      </c>
      <c r="J123" t="n">
        <v>5</v>
      </c>
      <c r="K123" t="n">
        <v>173</v>
      </c>
      <c r="L123" t="n">
        <v>0</v>
      </c>
      <c r="M123" t="n">
        <v>10</v>
      </c>
      <c r="N123" t="n">
        <v>2</v>
      </c>
      <c r="O123" t="n">
        <v>27</v>
      </c>
      <c r="P123" t="n">
        <v>39</v>
      </c>
      <c r="Q123" t="n">
        <v>25</v>
      </c>
      <c r="R123" t="n">
        <v>10</v>
      </c>
      <c r="S123" t="n">
        <v>3</v>
      </c>
      <c r="T123" t="n">
        <v>4</v>
      </c>
    </row>
    <row r="124">
      <c r="A124" t="inlineStr">
        <is>
          <t>Karen Smith</t>
        </is>
      </c>
      <c r="B124" t="n">
        <v>21</v>
      </c>
      <c r="C124" t="n">
        <v>0</v>
      </c>
      <c r="D124" t="n">
        <v>3</v>
      </c>
      <c r="E124" t="n">
        <v>30</v>
      </c>
      <c r="F124" t="n">
        <v>16</v>
      </c>
      <c r="G124" t="n">
        <v>15</v>
      </c>
      <c r="H124" t="n">
        <v>1</v>
      </c>
      <c r="I124" t="n">
        <v>7</v>
      </c>
      <c r="J124" t="n">
        <v>3</v>
      </c>
      <c r="K124" t="n">
        <v>161</v>
      </c>
      <c r="L124" t="n">
        <v>0</v>
      </c>
      <c r="M124" t="n">
        <v>11</v>
      </c>
      <c r="N124" t="n">
        <v>1</v>
      </c>
      <c r="O124" t="n">
        <v>35</v>
      </c>
      <c r="P124" t="n">
        <v>36</v>
      </c>
      <c r="Q124" t="n">
        <v>25</v>
      </c>
      <c r="R124" t="n">
        <v>10</v>
      </c>
      <c r="S124" t="n">
        <v>2</v>
      </c>
      <c r="T124" t="n">
        <v>2</v>
      </c>
    </row>
    <row r="125">
      <c r="A125" t="inlineStr">
        <is>
          <t>Lisa Smith</t>
        </is>
      </c>
      <c r="B125" t="n">
        <v>12</v>
      </c>
      <c r="C125" t="n">
        <v>0</v>
      </c>
      <c r="D125" t="n">
        <v>1</v>
      </c>
      <c r="E125" t="n">
        <v>35</v>
      </c>
      <c r="F125" t="n">
        <v>10</v>
      </c>
      <c r="G125" t="n">
        <v>15</v>
      </c>
      <c r="H125" t="n">
        <v>4</v>
      </c>
      <c r="I125" t="n">
        <v>6</v>
      </c>
      <c r="J125" t="n">
        <v>0</v>
      </c>
      <c r="K125" t="n">
        <v>174</v>
      </c>
      <c r="L125" t="n">
        <v>0</v>
      </c>
      <c r="M125" t="n">
        <v>11</v>
      </c>
      <c r="N125" t="n">
        <v>1</v>
      </c>
      <c r="O125" t="n">
        <v>33</v>
      </c>
      <c r="P125" t="n">
        <v>34</v>
      </c>
      <c r="Q125" t="n">
        <v>21</v>
      </c>
      <c r="R125" t="n">
        <v>14</v>
      </c>
      <c r="S125" t="n">
        <v>3</v>
      </c>
      <c r="T125" t="n">
        <v>1</v>
      </c>
    </row>
    <row r="126">
      <c r="A126" t="inlineStr">
        <is>
          <t>Michael Smith</t>
        </is>
      </c>
      <c r="B126" t="n">
        <v>11</v>
      </c>
      <c r="C126" t="n">
        <v>1</v>
      </c>
      <c r="D126" t="n">
        <v>5</v>
      </c>
      <c r="E126" t="n">
        <v>27</v>
      </c>
      <c r="F126" t="n">
        <v>10</v>
      </c>
      <c r="G126" t="n">
        <v>21</v>
      </c>
      <c r="H126" t="n">
        <v>2</v>
      </c>
      <c r="I126" t="n">
        <v>15</v>
      </c>
      <c r="J126" t="n">
        <v>1</v>
      </c>
      <c r="K126" t="n">
        <v>179</v>
      </c>
      <c r="L126" t="n">
        <v>0</v>
      </c>
      <c r="M126" t="n">
        <v>8</v>
      </c>
      <c r="N126" t="n">
        <v>1</v>
      </c>
      <c r="O126" t="n">
        <v>34</v>
      </c>
      <c r="P126" t="n">
        <v>26</v>
      </c>
      <c r="Q126" t="n">
        <v>28</v>
      </c>
      <c r="R126" t="n">
        <v>13</v>
      </c>
      <c r="S126" t="n">
        <v>3</v>
      </c>
      <c r="T126" t="n">
        <v>0</v>
      </c>
    </row>
    <row r="127">
      <c r="A127" t="inlineStr">
        <is>
          <t>Nancy Smith</t>
        </is>
      </c>
      <c r="B127" t="n">
        <v>11</v>
      </c>
      <c r="C127" t="n">
        <v>0</v>
      </c>
      <c r="D127" t="n">
        <v>3</v>
      </c>
      <c r="E127" t="n">
        <v>26</v>
      </c>
      <c r="F127" t="n">
        <v>10</v>
      </c>
      <c r="G127" t="n">
        <v>14</v>
      </c>
      <c r="H127" t="n">
        <v>5</v>
      </c>
      <c r="I127" t="n">
        <v>10</v>
      </c>
      <c r="J127" t="n">
        <v>0</v>
      </c>
      <c r="K127" t="n">
        <v>163</v>
      </c>
      <c r="L127" t="n">
        <v>0</v>
      </c>
      <c r="M127" t="n">
        <v>10</v>
      </c>
      <c r="N127" t="n">
        <v>4</v>
      </c>
      <c r="O127" t="n">
        <v>40</v>
      </c>
      <c r="P127" t="n">
        <v>35</v>
      </c>
      <c r="Q127" t="n">
        <v>34</v>
      </c>
      <c r="R127" t="n">
        <v>12</v>
      </c>
      <c r="S127" t="n">
        <v>3</v>
      </c>
      <c r="T127" t="n">
        <v>0</v>
      </c>
    </row>
    <row r="128">
      <c r="A128" t="inlineStr">
        <is>
          <t>Patricia Smith</t>
        </is>
      </c>
      <c r="B128" t="n">
        <v>9</v>
      </c>
      <c r="C128" t="n">
        <v>0</v>
      </c>
      <c r="D128" t="n">
        <v>5</v>
      </c>
      <c r="E128" t="n">
        <v>36</v>
      </c>
      <c r="F128" t="n">
        <v>7</v>
      </c>
      <c r="G128" t="n">
        <v>12</v>
      </c>
      <c r="H128" t="n">
        <v>3</v>
      </c>
      <c r="I128" t="n">
        <v>7</v>
      </c>
      <c r="J128" t="n">
        <v>0</v>
      </c>
      <c r="K128" t="n">
        <v>171</v>
      </c>
      <c r="L128" t="n">
        <v>0</v>
      </c>
      <c r="M128" t="n">
        <v>8</v>
      </c>
      <c r="N128" t="n">
        <v>1</v>
      </c>
      <c r="O128" t="n">
        <v>33</v>
      </c>
      <c r="P128" t="n">
        <v>32</v>
      </c>
      <c r="Q128" t="n">
        <v>30</v>
      </c>
      <c r="R128" t="n">
        <v>20</v>
      </c>
      <c r="S128" t="n">
        <v>2</v>
      </c>
      <c r="T128" t="n">
        <v>0</v>
      </c>
    </row>
    <row r="129">
      <c r="A129" t="inlineStr">
        <is>
          <t>Richard Smith</t>
        </is>
      </c>
      <c r="B129" t="n">
        <v>10</v>
      </c>
      <c r="C129" t="n">
        <v>0</v>
      </c>
      <c r="D129" t="n">
        <v>2</v>
      </c>
      <c r="E129" t="n">
        <v>35</v>
      </c>
      <c r="F129" t="n">
        <v>13</v>
      </c>
      <c r="G129" t="n">
        <v>20</v>
      </c>
      <c r="H129" t="n">
        <v>1</v>
      </c>
      <c r="I129" t="n">
        <v>7</v>
      </c>
      <c r="J129" t="n">
        <v>3</v>
      </c>
      <c r="K129" t="n">
        <v>163</v>
      </c>
      <c r="L129" t="n">
        <v>0</v>
      </c>
      <c r="M129" t="n">
        <v>7</v>
      </c>
      <c r="N129" t="n">
        <v>4</v>
      </c>
      <c r="O129" t="n">
        <v>41</v>
      </c>
      <c r="P129" t="n">
        <v>30</v>
      </c>
      <c r="Q129" t="n">
        <v>37</v>
      </c>
      <c r="R129" t="n">
        <v>12</v>
      </c>
      <c r="S129" t="n">
        <v>8</v>
      </c>
      <c r="T129" t="n">
        <v>2</v>
      </c>
    </row>
    <row r="130">
      <c r="A130" t="inlineStr">
        <is>
          <t>Sarah Smith</t>
        </is>
      </c>
      <c r="B130" t="n">
        <v>10</v>
      </c>
      <c r="C130" t="n">
        <v>1</v>
      </c>
      <c r="D130" t="n">
        <v>4</v>
      </c>
      <c r="E130" t="n">
        <v>29</v>
      </c>
      <c r="F130" t="n">
        <v>18</v>
      </c>
      <c r="G130" t="n">
        <v>20</v>
      </c>
      <c r="H130" t="n">
        <v>3</v>
      </c>
      <c r="I130" t="n">
        <v>11</v>
      </c>
      <c r="J130" t="n">
        <v>1</v>
      </c>
      <c r="K130" t="n">
        <v>149</v>
      </c>
      <c r="L130" t="n">
        <v>1</v>
      </c>
      <c r="M130" t="n">
        <v>8</v>
      </c>
      <c r="N130" t="n">
        <v>1</v>
      </c>
      <c r="O130" t="n">
        <v>44</v>
      </c>
      <c r="P130" t="n">
        <v>29</v>
      </c>
      <c r="Q130" t="n">
        <v>28</v>
      </c>
      <c r="R130" t="n">
        <v>14</v>
      </c>
      <c r="S130" t="n">
        <v>8</v>
      </c>
      <c r="T130" t="n">
        <v>0</v>
      </c>
    </row>
    <row r="131">
      <c r="A131" t="inlineStr">
        <is>
          <t>Thomas Smith</t>
        </is>
      </c>
      <c r="B131" t="n">
        <v>6</v>
      </c>
      <c r="C131" t="n">
        <v>0</v>
      </c>
      <c r="D131" t="n">
        <v>3</v>
      </c>
      <c r="E131" t="n">
        <v>29</v>
      </c>
      <c r="F131" t="n">
        <v>12</v>
      </c>
      <c r="G131" t="n">
        <v>22</v>
      </c>
      <c r="H131" t="n">
        <v>2</v>
      </c>
      <c r="I131" t="n">
        <v>6</v>
      </c>
      <c r="J131" t="n">
        <v>3</v>
      </c>
      <c r="K131" t="n">
        <v>197</v>
      </c>
      <c r="L131" t="n">
        <v>0</v>
      </c>
      <c r="M131" t="n">
        <v>6</v>
      </c>
      <c r="N131" t="n">
        <v>2</v>
      </c>
      <c r="O131" t="n">
        <v>35</v>
      </c>
      <c r="P131" t="n">
        <v>20</v>
      </c>
      <c r="Q131" t="n">
        <v>29</v>
      </c>
      <c r="R131" t="n">
        <v>13</v>
      </c>
      <c r="S131" t="n">
        <v>3</v>
      </c>
      <c r="T131" t="n">
        <v>1</v>
      </c>
    </row>
    <row r="132">
      <c r="A132" t="inlineStr">
        <is>
          <t>William Smith</t>
        </is>
      </c>
      <c r="B132" t="n">
        <v>11</v>
      </c>
      <c r="C132" t="n">
        <v>0</v>
      </c>
      <c r="D132" t="n">
        <v>3</v>
      </c>
      <c r="E132" t="n">
        <v>35</v>
      </c>
      <c r="F132" t="n">
        <v>15</v>
      </c>
      <c r="G132" t="n">
        <v>22</v>
      </c>
      <c r="H132" t="n">
        <v>1</v>
      </c>
      <c r="I132" t="n">
        <v>8</v>
      </c>
      <c r="J132" t="n">
        <v>0</v>
      </c>
      <c r="K132" t="n">
        <v>173</v>
      </c>
      <c r="L132" t="n">
        <v>0</v>
      </c>
      <c r="M132" t="n">
        <v>6</v>
      </c>
      <c r="N132" t="n">
        <v>5</v>
      </c>
      <c r="O132" t="n">
        <v>27</v>
      </c>
      <c r="P132" t="n">
        <v>27</v>
      </c>
      <c r="Q132" t="n">
        <v>23</v>
      </c>
      <c r="R132" t="n">
        <v>17</v>
      </c>
      <c r="S132" t="n">
        <v>2</v>
      </c>
      <c r="T132" t="n">
        <v>2</v>
      </c>
    </row>
    <row r="134" ht="10" customHeight="1"/>
    <row r="135" ht="26" customHeight="1">
      <c r="A135" s="9" t="inlineStr">
        <is>
          <t>🤖 AI Insight</t>
        </is>
      </c>
    </row>
    <row r="136" ht="30" customHeight="1">
      <c r="A136" s="11" t="inlineStr">
        <is>
          <t>📌 Finding: Incident volume is disproportionately high at 8,977, constituting 99% of total workload, while Changes, Requests, and Problems are minimal at 50 each. The team's Health Grade is "At Risk," indicating severe capacity strain and potential burnout from reactive firefighting.</t>
        </is>
      </c>
    </row>
    <row r="137" ht="6" customHeight="1"/>
    <row r="138" ht="30" customHeight="1">
      <c r="A138" s="11" t="inlineStr">
        <is>
          <t>🔍 Root Cause: The data reveals a critical staffing and process imbalance. With 99% of effort consumed by incident management, there is insufficient capacity for proactive problem management (50 tickets) and controlled change execution (50 tickets). This suggests a lack of preventive measures, automated remediation, or effective tiered support, forcing the team into a perpetual reactive mode. Skill coverage is likely misaligned, with too few resources skilled in root cause analysis and automation to reduce the incident backlog.</t>
        </is>
      </c>
    </row>
    <row r="139" ht="6" customHeight="1"/>
    <row r="140" ht="30" customHeight="1">
      <c r="A140" s="11" t="inlineStr">
        <is>
          <t>💡 Recommendations:</t>
        </is>
      </c>
    </row>
    <row r="141" ht="30" customHeight="1">
      <c r="A141" s="10" t="inlineStr">
        <is>
          <t>1.  **Implement an Incident Triage &amp; Automation Sprint:** Dedicate a cross-functional team for two weeks to analyze the top 20% of recurring incidents (approx. 1,800 tickets) and implement automated scripts or self-service fixes, aiming to deflect 30% of this subset.</t>
        </is>
      </c>
    </row>
    <row r="142" ht="30" customHeight="1">
      <c r="A142" s="10" t="inlineStr">
        <is>
          <t>2.  **Launch a Proactive Problem Management Program:** Mandate that for every major incident (P1/P2), a problem ticket is automatically created. Reallocate 15% of current incident-handling capacity to a dedicated problem squad focused on permanent fixes.</t>
        </is>
      </c>
    </row>
    <row r="143" ht="30" customHeight="1">
      <c r="A143" s="10" t="inlineStr">
        <is>
          <t>3.  **Upskill for SRE &amp; Automation:** Fund targeted training for 25% of the operations staff in scripting (Python/PowerShell) and monitoring tools (e.g., Dynatrace, Splunk) within the next quarter to build internal capability for reducing manual toil.</t>
        </is>
      </c>
    </row>
    <row r="144" ht="6" customHeight="1"/>
    <row r="145" ht="30" customHeight="1">
      <c r="A145" s="11" t="inlineStr">
        <is>
          <t>📈 Expected Impact: Implementing these measures is projected to reduce monthly incident volume by 20-25% within two quarters, freeing approximately 1,800-2,250 person-hours annually for proactive work. This shift should directly improve the Health Grade from "At Risk" to "Stable" by rebalancing workload distribution and reducing mean time to resolution (MTTR) by an estimated 15%.</t>
        </is>
      </c>
    </row>
    <row r="146" ht="10" customHeight="1"/>
    <row r="147" ht="10" customHeight="1"/>
    <row r="148">
      <c r="A148" s="12" t="inlineStr">
        <is>
          <t>Generated by Customer Cross-Overview Report • 2026-01-30 23:00</t>
        </is>
      </c>
    </row>
  </sheetData>
  <mergeCells count="18">
    <mergeCell ref="A1:J1"/>
    <mergeCell ref="A5:J5"/>
    <mergeCell ref="A32:J32"/>
    <mergeCell ref="A89:J89"/>
    <mergeCell ref="A61:J61"/>
    <mergeCell ref="A141:J141"/>
    <mergeCell ref="A135:J135"/>
    <mergeCell ref="A145:J145"/>
    <mergeCell ref="A143:J143"/>
    <mergeCell ref="A62:J62"/>
    <mergeCell ref="A136:J136"/>
    <mergeCell ref="A140:J140"/>
    <mergeCell ref="A39:J39"/>
    <mergeCell ref="A148:J148"/>
    <mergeCell ref="A4:J4"/>
    <mergeCell ref="A2:J2"/>
    <mergeCell ref="A142:J142"/>
    <mergeCell ref="A138:J138"/>
  </mergeCells>
  <conditionalFormatting sqref="B118:T132">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ec4899"/>
    <outlinePr summaryBelow="1" summaryRight="1"/>
    <pageSetUpPr fitToPage="1"/>
  </sheetPr>
  <dimension ref="A1:J137"/>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Time Analysis</t>
        </is>
      </c>
    </row>
    <row r="2" ht="22" customHeight="1">
      <c r="A2" s="2" t="inlineStr">
        <is>
          <t>2024-04-19 — 2025-07-06</t>
        </is>
      </c>
    </row>
    <row r="3" ht="10" customHeight="1"/>
    <row r="4" ht="26" customHeight="1">
      <c r="A4" s="3" t="inlineStr">
        <is>
          <t>Data Tables</t>
        </is>
      </c>
    </row>
    <row r="5" ht="26" customHeight="1">
      <c r="A5" s="3" t="inlineStr">
        <is>
          <t>Monthly Trends</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3" t="n">
        <v>195</v>
      </c>
      <c r="C7" s="13" t="n">
        <v>0</v>
      </c>
      <c r="D7" s="13" t="n">
        <v>0</v>
      </c>
      <c r="E7" s="13" t="n">
        <v>0</v>
      </c>
      <c r="F7" s="5" t="inlineStr">
        <is>
          <t>46.2%</t>
        </is>
      </c>
      <c r="G7" s="5" t="inlineStr">
        <is>
          <t>5.9d</t>
        </is>
      </c>
      <c r="H7" s="5" t="inlineStr">
        <is>
          <t>22.6%</t>
        </is>
      </c>
      <c r="I7" s="5" t="inlineStr">
        <is>
          <t>N/A</t>
        </is>
      </c>
      <c r="J7" s="5" t="inlineStr"/>
    </row>
    <row r="8" ht="18" customHeight="1">
      <c r="A8" s="6" t="inlineStr">
        <is>
          <t>2024-05</t>
        </is>
      </c>
      <c r="B8" s="14" t="n">
        <v>725</v>
      </c>
      <c r="C8" s="14" t="n">
        <v>0</v>
      </c>
      <c r="D8" s="14" t="n">
        <v>0</v>
      </c>
      <c r="E8" s="14" t="n">
        <v>0</v>
      </c>
      <c r="F8" s="6" t="inlineStr">
        <is>
          <t>60.3%</t>
        </is>
      </c>
      <c r="G8" s="6" t="inlineStr">
        <is>
          <t>2.4d</t>
        </is>
      </c>
      <c r="H8" s="6" t="inlineStr">
        <is>
          <t>18.1%</t>
        </is>
      </c>
      <c r="I8" s="6" t="inlineStr">
        <is>
          <t>+271.8%</t>
        </is>
      </c>
      <c r="J8" s="6" t="inlineStr">
        <is>
          <t>Increasing</t>
        </is>
      </c>
    </row>
    <row r="9" ht="18" customHeight="1">
      <c r="A9" s="5" t="inlineStr">
        <is>
          <t>2024-06</t>
        </is>
      </c>
      <c r="B9" s="13" t="n">
        <v>924</v>
      </c>
      <c r="C9" s="13" t="n">
        <v>0</v>
      </c>
      <c r="D9" s="13" t="n">
        <v>0</v>
      </c>
      <c r="E9" s="13" t="n">
        <v>0</v>
      </c>
      <c r="F9" s="5" t="inlineStr">
        <is>
          <t>62.9%</t>
        </is>
      </c>
      <c r="G9" s="5" t="inlineStr">
        <is>
          <t>25.2h</t>
        </is>
      </c>
      <c r="H9" s="5" t="inlineStr">
        <is>
          <t>20.6%</t>
        </is>
      </c>
      <c r="I9" s="5" t="inlineStr">
        <is>
          <t>+27.4%</t>
        </is>
      </c>
      <c r="J9" s="5" t="inlineStr">
        <is>
          <t>Increasing</t>
        </is>
      </c>
    </row>
    <row r="10" ht="18" customHeight="1">
      <c r="A10" s="6" t="inlineStr">
        <is>
          <t>2024-07</t>
        </is>
      </c>
      <c r="B10" s="14" t="n">
        <v>1007</v>
      </c>
      <c r="C10" s="14" t="n">
        <v>0</v>
      </c>
      <c r="D10" s="14" t="n">
        <v>0</v>
      </c>
      <c r="E10" s="14" t="n">
        <v>0</v>
      </c>
      <c r="F10" s="6" t="inlineStr">
        <is>
          <t>64.3%</t>
        </is>
      </c>
      <c r="G10" s="6" t="inlineStr">
        <is>
          <t>24.3h</t>
        </is>
      </c>
      <c r="H10" s="6" t="inlineStr">
        <is>
          <t>20.4%</t>
        </is>
      </c>
      <c r="I10" s="6" t="inlineStr">
        <is>
          <t>+9.0%</t>
        </is>
      </c>
      <c r="J10" s="6" t="inlineStr">
        <is>
          <t>Increasing</t>
        </is>
      </c>
    </row>
    <row r="11" ht="18" customHeight="1">
      <c r="A11" s="5" t="inlineStr">
        <is>
          <t>2024-08</t>
        </is>
      </c>
      <c r="B11" s="13" t="n">
        <v>712</v>
      </c>
      <c r="C11" s="13" t="n">
        <v>0</v>
      </c>
      <c r="D11" s="13" t="n">
        <v>0</v>
      </c>
      <c r="E11" s="13" t="n">
        <v>0</v>
      </c>
      <c r="F11" s="5" t="inlineStr">
        <is>
          <t>62.8%</t>
        </is>
      </c>
      <c r="G11" s="5" t="inlineStr">
        <is>
          <t>24.7h</t>
        </is>
      </c>
      <c r="H11" s="5" t="inlineStr">
        <is>
          <t>21.1%</t>
        </is>
      </c>
      <c r="I11" s="5" t="inlineStr">
        <is>
          <t>-29.3%</t>
        </is>
      </c>
      <c r="J11" s="5" t="inlineStr">
        <is>
          <t>Improving</t>
        </is>
      </c>
    </row>
    <row r="12" ht="18" customHeight="1">
      <c r="A12" s="6" t="inlineStr">
        <is>
          <t>2024-09</t>
        </is>
      </c>
      <c r="B12" s="14" t="n">
        <v>621</v>
      </c>
      <c r="C12" s="14" t="n">
        <v>0</v>
      </c>
      <c r="D12" s="14" t="n">
        <v>0</v>
      </c>
      <c r="E12" s="14" t="n">
        <v>0</v>
      </c>
      <c r="F12" s="6" t="inlineStr">
        <is>
          <t>74.6%</t>
        </is>
      </c>
      <c r="G12" s="6" t="inlineStr">
        <is>
          <t>16.8h</t>
        </is>
      </c>
      <c r="H12" s="6" t="inlineStr">
        <is>
          <t>21.7%</t>
        </is>
      </c>
      <c r="I12" s="6" t="inlineStr">
        <is>
          <t>-12.8%</t>
        </is>
      </c>
      <c r="J12" s="6" t="inlineStr">
        <is>
          <t>Improving</t>
        </is>
      </c>
    </row>
    <row r="13" ht="18" customHeight="1">
      <c r="A13" s="5" t="inlineStr">
        <is>
          <t>2024-10</t>
        </is>
      </c>
      <c r="B13" s="13" t="n">
        <v>542</v>
      </c>
      <c r="C13" s="13" t="n">
        <v>0</v>
      </c>
      <c r="D13" s="13" t="n">
        <v>0</v>
      </c>
      <c r="E13" s="13" t="n">
        <v>0</v>
      </c>
      <c r="F13" s="5" t="inlineStr">
        <is>
          <t>69.4%</t>
        </is>
      </c>
      <c r="G13" s="5" t="inlineStr">
        <is>
          <t>20.3h</t>
        </is>
      </c>
      <c r="H13" s="5" t="inlineStr">
        <is>
          <t>19.0%</t>
        </is>
      </c>
      <c r="I13" s="5" t="inlineStr">
        <is>
          <t>-12.7%</t>
        </is>
      </c>
      <c r="J13" s="5" t="inlineStr">
        <is>
          <t>Improving</t>
        </is>
      </c>
    </row>
    <row r="14" ht="18" customHeight="1">
      <c r="A14" s="6" t="inlineStr">
        <is>
          <t>2024-11</t>
        </is>
      </c>
      <c r="B14" s="14" t="n">
        <v>441</v>
      </c>
      <c r="C14" s="14" t="n">
        <v>7</v>
      </c>
      <c r="D14" s="14" t="n">
        <v>9</v>
      </c>
      <c r="E14" s="14" t="n">
        <v>11</v>
      </c>
      <c r="F14" s="6" t="inlineStr">
        <is>
          <t>65.8%</t>
        </is>
      </c>
      <c r="G14" s="6" t="inlineStr">
        <is>
          <t>23.8h</t>
        </is>
      </c>
      <c r="H14" s="6" t="inlineStr">
        <is>
          <t>17.7%</t>
        </is>
      </c>
      <c r="I14" s="6" t="inlineStr">
        <is>
          <t>-18.6%</t>
        </is>
      </c>
      <c r="J14" s="6" t="inlineStr">
        <is>
          <t>Improving</t>
        </is>
      </c>
    </row>
    <row r="15" ht="18" customHeight="1">
      <c r="A15" s="5" t="inlineStr">
        <is>
          <t>2024-12</t>
        </is>
      </c>
      <c r="B15" s="13" t="n">
        <v>432</v>
      </c>
      <c r="C15" s="13" t="n">
        <v>32</v>
      </c>
      <c r="D15" s="13" t="n">
        <v>30</v>
      </c>
      <c r="E15" s="13" t="n">
        <v>28</v>
      </c>
      <c r="F15" s="5" t="inlineStr">
        <is>
          <t>66.2%</t>
        </is>
      </c>
      <c r="G15" s="5" t="inlineStr">
        <is>
          <t>21.1h</t>
        </is>
      </c>
      <c r="H15" s="5" t="inlineStr">
        <is>
          <t>20.8%</t>
        </is>
      </c>
      <c r="I15" s="5" t="inlineStr">
        <is>
          <t>-2.0%</t>
        </is>
      </c>
      <c r="J15" s="5" t="inlineStr">
        <is>
          <t>Stable</t>
        </is>
      </c>
    </row>
    <row r="16" ht="18" customHeight="1">
      <c r="A16" s="6" t="inlineStr">
        <is>
          <t>2025-01</t>
        </is>
      </c>
      <c r="B16" s="14" t="n">
        <v>511</v>
      </c>
      <c r="C16" s="14" t="n">
        <v>11</v>
      </c>
      <c r="D16" s="14" t="n">
        <v>11</v>
      </c>
      <c r="E16" s="14" t="n">
        <v>11</v>
      </c>
      <c r="F16" s="6" t="inlineStr">
        <is>
          <t>65.9%</t>
        </is>
      </c>
      <c r="G16" s="6" t="inlineStr">
        <is>
          <t>21.3h</t>
        </is>
      </c>
      <c r="H16" s="6" t="inlineStr">
        <is>
          <t>20.7%</t>
        </is>
      </c>
      <c r="I16" s="6" t="inlineStr">
        <is>
          <t>+18.3%</t>
        </is>
      </c>
      <c r="J16" s="6" t="inlineStr">
        <is>
          <t>Increasing</t>
        </is>
      </c>
    </row>
    <row r="17" ht="18" customHeight="1">
      <c r="A17" s="5" t="inlineStr">
        <is>
          <t>2025-02</t>
        </is>
      </c>
      <c r="B17" s="13" t="n">
        <v>410</v>
      </c>
      <c r="C17" s="13" t="n">
        <v>0</v>
      </c>
      <c r="D17" s="13" t="n">
        <v>0</v>
      </c>
      <c r="E17" s="13" t="n">
        <v>0</v>
      </c>
      <c r="F17" s="5" t="inlineStr">
        <is>
          <t>66.8%</t>
        </is>
      </c>
      <c r="G17" s="5" t="inlineStr">
        <is>
          <t>23.6h</t>
        </is>
      </c>
      <c r="H17" s="5" t="inlineStr">
        <is>
          <t>16.6%</t>
        </is>
      </c>
      <c r="I17" s="5" t="inlineStr">
        <is>
          <t>-19.8%</t>
        </is>
      </c>
      <c r="J17" s="5" t="inlineStr">
        <is>
          <t>Improving</t>
        </is>
      </c>
    </row>
    <row r="18" ht="18" customHeight="1">
      <c r="A18" s="6" t="inlineStr">
        <is>
          <t>2025-03</t>
        </is>
      </c>
      <c r="B18" s="14" t="n">
        <v>599</v>
      </c>
      <c r="C18" s="14" t="n">
        <v>0</v>
      </c>
      <c r="D18" s="14" t="n">
        <v>0</v>
      </c>
      <c r="E18" s="14" t="n">
        <v>0</v>
      </c>
      <c r="F18" s="6" t="inlineStr">
        <is>
          <t>66.1%</t>
        </is>
      </c>
      <c r="G18" s="6" t="inlineStr">
        <is>
          <t>26.4h</t>
        </is>
      </c>
      <c r="H18" s="6" t="inlineStr">
        <is>
          <t>19.4%</t>
        </is>
      </c>
      <c r="I18" s="6" t="inlineStr">
        <is>
          <t>+46.1%</t>
        </is>
      </c>
      <c r="J18" s="6" t="inlineStr">
        <is>
          <t>Increasing</t>
        </is>
      </c>
    </row>
    <row r="19" ht="18" customHeight="1">
      <c r="A19" s="5" t="inlineStr">
        <is>
          <t>2025-04</t>
        </is>
      </c>
      <c r="B19" s="13" t="n">
        <v>491</v>
      </c>
      <c r="C19" s="13" t="n">
        <v>0</v>
      </c>
      <c r="D19" s="13" t="n">
        <v>0</v>
      </c>
      <c r="E19" s="13" t="n">
        <v>0</v>
      </c>
      <c r="F19" s="5" t="inlineStr">
        <is>
          <t>58.5%</t>
        </is>
      </c>
      <c r="G19" s="5" t="inlineStr">
        <is>
          <t>31.4h</t>
        </is>
      </c>
      <c r="H19" s="5" t="inlineStr">
        <is>
          <t>19.3%</t>
        </is>
      </c>
      <c r="I19" s="5" t="inlineStr">
        <is>
          <t>-18.0%</t>
        </is>
      </c>
      <c r="J19" s="5" t="inlineStr">
        <is>
          <t>Improving</t>
        </is>
      </c>
    </row>
    <row r="20" ht="18" customHeight="1">
      <c r="A20" s="6" t="inlineStr">
        <is>
          <t>2025-05</t>
        </is>
      </c>
      <c r="B20" s="14" t="n">
        <v>652</v>
      </c>
      <c r="C20" s="14" t="n">
        <v>0</v>
      </c>
      <c r="D20" s="14" t="n">
        <v>0</v>
      </c>
      <c r="E20" s="14" t="n">
        <v>0</v>
      </c>
      <c r="F20" s="6" t="inlineStr">
        <is>
          <t>59.4%</t>
        </is>
      </c>
      <c r="G20" s="6" t="inlineStr">
        <is>
          <t>29.9h</t>
        </is>
      </c>
      <c r="H20" s="6" t="inlineStr">
        <is>
          <t>20.6%</t>
        </is>
      </c>
      <c r="I20" s="6" t="inlineStr">
        <is>
          <t>+32.8%</t>
        </is>
      </c>
      <c r="J20" s="6" t="inlineStr">
        <is>
          <t>Increasing</t>
        </is>
      </c>
    </row>
    <row r="21" ht="18" customHeight="1">
      <c r="A21" s="5" t="inlineStr">
        <is>
          <t>2025-06</t>
        </is>
      </c>
      <c r="B21" s="13" t="n">
        <v>641</v>
      </c>
      <c r="C21" s="13" t="n">
        <v>0</v>
      </c>
      <c r="D21" s="13" t="n">
        <v>0</v>
      </c>
      <c r="E21" s="13" t="n">
        <v>0</v>
      </c>
      <c r="F21" s="5" t="inlineStr">
        <is>
          <t>66.8%</t>
        </is>
      </c>
      <c r="G21" s="5" t="inlineStr">
        <is>
          <t>23.5h</t>
        </is>
      </c>
      <c r="H21" s="5" t="inlineStr">
        <is>
          <t>20.1%</t>
        </is>
      </c>
      <c r="I21" s="5" t="inlineStr">
        <is>
          <t>-1.7%</t>
        </is>
      </c>
      <c r="J21" s="5" t="inlineStr">
        <is>
          <t>Stable</t>
        </is>
      </c>
    </row>
    <row r="22" ht="18" customHeight="1">
      <c r="A22" s="6" t="inlineStr">
        <is>
          <t>2025-07</t>
        </is>
      </c>
      <c r="B22" s="14" t="n">
        <v>74</v>
      </c>
      <c r="C22" s="14" t="n">
        <v>0</v>
      </c>
      <c r="D22" s="14" t="n">
        <v>0</v>
      </c>
      <c r="E22" s="14" t="n">
        <v>0</v>
      </c>
      <c r="F22" s="6" t="inlineStr">
        <is>
          <t>50.0%</t>
        </is>
      </c>
      <c r="G22" s="6" t="inlineStr">
        <is>
          <t>29.5h</t>
        </is>
      </c>
      <c r="H22" s="6" t="inlineStr">
        <is>
          <t>27.0%</t>
        </is>
      </c>
      <c r="I22" s="6" t="inlineStr">
        <is>
          <t>-88.5%</t>
        </is>
      </c>
      <c r="J22" s="6" t="inlineStr">
        <is>
          <t>Improving</t>
        </is>
      </c>
    </row>
    <row r="23" ht="10" customHeight="1"/>
    <row r="24" ht="26" customHeight="1">
      <c r="A24" s="3" t="inlineStr">
        <is>
          <t>Day of Week</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3" t="n">
        <v>1506</v>
      </c>
      <c r="C26" s="5" t="inlineStr">
        <is>
          <t>16.8%</t>
        </is>
      </c>
      <c r="D26" s="5" t="inlineStr">
        <is>
          <t>26.1h</t>
        </is>
      </c>
      <c r="E26" s="13" t="n">
        <v>284</v>
      </c>
      <c r="F26" s="5" t="inlineStr">
        <is>
          <t>Normal</t>
        </is>
      </c>
    </row>
    <row r="27" ht="18" customHeight="1">
      <c r="A27" s="6" t="inlineStr">
        <is>
          <t>Tuesday</t>
        </is>
      </c>
      <c r="B27" s="14" t="n">
        <v>1334</v>
      </c>
      <c r="C27" s="6" t="inlineStr">
        <is>
          <t>14.9%</t>
        </is>
      </c>
      <c r="D27" s="6" t="inlineStr">
        <is>
          <t>29.6h</t>
        </is>
      </c>
      <c r="E27" s="14" t="n">
        <v>293</v>
      </c>
      <c r="F27" s="6" t="inlineStr">
        <is>
          <t>Normal</t>
        </is>
      </c>
    </row>
    <row r="28" ht="18" customHeight="1">
      <c r="A28" s="5" t="inlineStr">
        <is>
          <t>Wednesday</t>
        </is>
      </c>
      <c r="B28" s="13" t="n">
        <v>1436</v>
      </c>
      <c r="C28" s="5" t="inlineStr">
        <is>
          <t>16.0%</t>
        </is>
      </c>
      <c r="D28" s="5" t="inlineStr">
        <is>
          <t>37.7h</t>
        </is>
      </c>
      <c r="E28" s="13" t="n">
        <v>305</v>
      </c>
      <c r="F28" s="5" t="inlineStr">
        <is>
          <t>Normal</t>
        </is>
      </c>
    </row>
    <row r="29" ht="18" customHeight="1">
      <c r="A29" s="6" t="inlineStr">
        <is>
          <t>Thursday</t>
        </is>
      </c>
      <c r="B29" s="14" t="n">
        <v>1321</v>
      </c>
      <c r="C29" s="6" t="inlineStr">
        <is>
          <t>14.7%</t>
        </is>
      </c>
      <c r="D29" s="6" t="inlineStr">
        <is>
          <t>29.9h</t>
        </is>
      </c>
      <c r="E29" s="14" t="n">
        <v>239</v>
      </c>
      <c r="F29" s="6" t="inlineStr">
        <is>
          <t>Normal</t>
        </is>
      </c>
    </row>
    <row r="30" ht="18" customHeight="1">
      <c r="A30" s="5" t="inlineStr">
        <is>
          <t>Friday</t>
        </is>
      </c>
      <c r="B30" s="13" t="n">
        <v>1270</v>
      </c>
      <c r="C30" s="5" t="inlineStr">
        <is>
          <t>14.1%</t>
        </is>
      </c>
      <c r="D30" s="5" t="inlineStr">
        <is>
          <t>24.2h</t>
        </is>
      </c>
      <c r="E30" s="13" t="n">
        <v>255</v>
      </c>
      <c r="F30" s="5" t="inlineStr">
        <is>
          <t>Normal</t>
        </is>
      </c>
    </row>
    <row r="31" ht="18" customHeight="1">
      <c r="A31" s="6" t="inlineStr">
        <is>
          <t>Saturday</t>
        </is>
      </c>
      <c r="B31" s="14" t="n">
        <v>1040</v>
      </c>
      <c r="C31" s="6" t="inlineStr">
        <is>
          <t>11.6%</t>
        </is>
      </c>
      <c r="D31" s="6" t="inlineStr">
        <is>
          <t>30.1h</t>
        </is>
      </c>
      <c r="E31" s="14" t="n">
        <v>193</v>
      </c>
      <c r="F31" s="6" t="inlineStr">
        <is>
          <t>Normal</t>
        </is>
      </c>
    </row>
    <row r="32" ht="18" customHeight="1">
      <c r="A32" s="5" t="inlineStr">
        <is>
          <t>Sunday</t>
        </is>
      </c>
      <c r="B32" s="13" t="n">
        <v>1070</v>
      </c>
      <c r="C32" s="5" t="inlineStr">
        <is>
          <t>11.9%</t>
        </is>
      </c>
      <c r="D32" s="5" t="inlineStr">
        <is>
          <t>27.2h</t>
        </is>
      </c>
      <c r="E32" s="13" t="n">
        <v>225</v>
      </c>
      <c r="F32" s="5" t="inlineStr">
        <is>
          <t>Normal</t>
        </is>
      </c>
    </row>
    <row r="33" ht="10" customHeight="1"/>
    <row r="34" ht="26" customHeight="1">
      <c r="A34" s="3" t="inlineStr">
        <is>
          <t>Hour of Day</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3" t="n">
        <v>1133</v>
      </c>
      <c r="D36" s="5" t="inlineStr">
        <is>
          <t>12.6%</t>
        </is>
      </c>
      <c r="E36" s="5" t="inlineStr">
        <is>
          <t>27.5h</t>
        </is>
      </c>
      <c r="F36" s="5" t="inlineStr">
        <is>
          <t>Consider on-call staffing adjustments</t>
        </is>
      </c>
    </row>
    <row r="37" ht="18" customHeight="1">
      <c r="A37" s="6" t="inlineStr">
        <is>
          <t>Morning</t>
        </is>
      </c>
      <c r="B37" s="6" t="inlineStr">
        <is>
          <t>06:00-11:59</t>
        </is>
      </c>
      <c r="C37" s="14" t="n">
        <v>2576</v>
      </c>
      <c r="D37" s="6" t="inlineStr">
        <is>
          <t>28.7%</t>
        </is>
      </c>
      <c r="E37" s="6" t="inlineStr">
        <is>
          <t>25.7h</t>
        </is>
      </c>
      <c r="F37" s="6" t="inlineStr">
        <is>
          <t>Ensure full team availability</t>
        </is>
      </c>
    </row>
    <row r="38" ht="18" customHeight="1">
      <c r="A38" s="5" t="inlineStr">
        <is>
          <t>Afternoon</t>
        </is>
      </c>
      <c r="B38" s="5" t="inlineStr">
        <is>
          <t>12:00-17:59</t>
        </is>
      </c>
      <c r="C38" s="13" t="n">
        <v>3240</v>
      </c>
      <c r="D38" s="5" t="inlineStr">
        <is>
          <t>36.1%</t>
        </is>
      </c>
      <c r="E38" s="5" t="inlineStr">
        <is>
          <t>28.6h</t>
        </is>
      </c>
      <c r="F38" s="5" t="inlineStr">
        <is>
          <t>Monitor post-lunch productivity</t>
        </is>
      </c>
    </row>
    <row r="39" ht="18" customHeight="1">
      <c r="A39" s="6" t="inlineStr">
        <is>
          <t>Evening</t>
        </is>
      </c>
      <c r="B39" s="6" t="inlineStr">
        <is>
          <t>18:00-23:59</t>
        </is>
      </c>
      <c r="C39" s="14" t="n">
        <v>2028</v>
      </c>
      <c r="D39" s="6" t="inlineStr">
        <is>
          <t>22.6%</t>
        </is>
      </c>
      <c r="E39" s="6" t="inlineStr">
        <is>
          <t>36.3h</t>
        </is>
      </c>
      <c r="F39" s="6" t="inlineStr">
        <is>
          <t>Evaluate after-hours support needs</t>
        </is>
      </c>
    </row>
    <row r="40" ht="10" customHeight="1"/>
    <row r="41" ht="26" customHeight="1">
      <c r="A41" s="3" t="inlineStr">
        <is>
          <t>Visual Analysis</t>
        </is>
      </c>
    </row>
    <row r="42" ht="16" customHeight="1">
      <c r="A42" s="8" t="inlineStr">
        <is>
          <t>Four ITIL process volume trends over time</t>
        </is>
      </c>
    </row>
    <row r="69" ht="16" customHeight="1">
      <c r="A69" s="8" t="inlineStr">
        <is>
          <t>Incident volume by day of week</t>
        </is>
      </c>
    </row>
    <row r="96">
      <c r="A96" s="15" t="inlineStr">
        <is>
          <t>Hourly Incident Heatmap</t>
        </is>
      </c>
    </row>
    <row r="97">
      <c r="A97" t="inlineStr">
        <is>
          <t>Hour</t>
        </is>
      </c>
      <c r="B97" t="inlineStr">
        <is>
          <t>Monday</t>
        </is>
      </c>
      <c r="C97" t="inlineStr">
        <is>
          <t>Tuesday</t>
        </is>
      </c>
      <c r="D97" t="inlineStr">
        <is>
          <t>Wednesday</t>
        </is>
      </c>
      <c r="E97" t="inlineStr">
        <is>
          <t>Thursday</t>
        </is>
      </c>
      <c r="F97" t="inlineStr">
        <is>
          <t>Friday</t>
        </is>
      </c>
      <c r="G97" t="inlineStr">
        <is>
          <t>Saturday</t>
        </is>
      </c>
      <c r="H97" t="inlineStr">
        <is>
          <t>Sunday</t>
        </is>
      </c>
    </row>
    <row r="98">
      <c r="A98" t="inlineStr">
        <is>
          <t>0</t>
        </is>
      </c>
      <c r="B98" t="n">
        <v>88</v>
      </c>
      <c r="C98" t="n">
        <v>50</v>
      </c>
      <c r="D98" t="n">
        <v>55</v>
      </c>
      <c r="E98" t="n">
        <v>41</v>
      </c>
      <c r="F98" t="n">
        <v>52</v>
      </c>
      <c r="G98" t="n">
        <v>67</v>
      </c>
      <c r="H98" t="n">
        <v>39</v>
      </c>
    </row>
    <row r="99">
      <c r="A99" t="inlineStr">
        <is>
          <t>1</t>
        </is>
      </c>
      <c r="B99" t="n">
        <v>59</v>
      </c>
      <c r="C99" t="n">
        <v>41</v>
      </c>
      <c r="D99" t="n">
        <v>42</v>
      </c>
      <c r="E99" t="n">
        <v>41</v>
      </c>
      <c r="F99" t="n">
        <v>39</v>
      </c>
      <c r="G99" t="n">
        <v>34</v>
      </c>
      <c r="H99" t="n">
        <v>43</v>
      </c>
    </row>
    <row r="100">
      <c r="A100" t="inlineStr">
        <is>
          <t>2</t>
        </is>
      </c>
      <c r="B100" t="n">
        <v>31</v>
      </c>
      <c r="C100" t="n">
        <v>12</v>
      </c>
      <c r="D100" t="n">
        <v>24</v>
      </c>
      <c r="E100" t="n">
        <v>22</v>
      </c>
      <c r="F100" t="n">
        <v>20</v>
      </c>
      <c r="G100" t="n">
        <v>21</v>
      </c>
      <c r="H100" t="n">
        <v>19</v>
      </c>
    </row>
    <row r="101">
      <c r="A101" t="inlineStr">
        <is>
          <t>3</t>
        </is>
      </c>
      <c r="B101" t="n">
        <v>13</v>
      </c>
      <c r="C101" t="n">
        <v>11</v>
      </c>
      <c r="D101" t="n">
        <v>16</v>
      </c>
      <c r="E101" t="n">
        <v>14</v>
      </c>
      <c r="F101" t="n">
        <v>11</v>
      </c>
      <c r="G101" t="n">
        <v>11</v>
      </c>
      <c r="H101" t="n">
        <v>17</v>
      </c>
    </row>
    <row r="102">
      <c r="A102" t="inlineStr">
        <is>
          <t>4</t>
        </is>
      </c>
      <c r="B102" t="n">
        <v>16</v>
      </c>
      <c r="C102" t="n">
        <v>20</v>
      </c>
      <c r="D102" t="n">
        <v>20</v>
      </c>
      <c r="E102" t="n">
        <v>14</v>
      </c>
      <c r="F102" t="n">
        <v>19</v>
      </c>
      <c r="G102" t="n">
        <v>14</v>
      </c>
      <c r="H102" t="n">
        <v>24</v>
      </c>
    </row>
    <row r="103">
      <c r="A103" t="inlineStr">
        <is>
          <t>5</t>
        </is>
      </c>
      <c r="B103" t="n">
        <v>12</v>
      </c>
      <c r="C103" t="n">
        <v>5</v>
      </c>
      <c r="D103" t="n">
        <v>14</v>
      </c>
      <c r="E103" t="n">
        <v>14</v>
      </c>
      <c r="F103" t="n">
        <v>6</v>
      </c>
      <c r="G103" t="n">
        <v>11</v>
      </c>
      <c r="H103" t="n">
        <v>11</v>
      </c>
    </row>
    <row r="104">
      <c r="A104" t="inlineStr">
        <is>
          <t>6</t>
        </is>
      </c>
      <c r="B104" t="n">
        <v>56</v>
      </c>
      <c r="C104" t="n">
        <v>50</v>
      </c>
      <c r="D104" t="n">
        <v>56</v>
      </c>
      <c r="E104" t="n">
        <v>89</v>
      </c>
      <c r="F104" t="n">
        <v>57</v>
      </c>
      <c r="G104" t="n">
        <v>71</v>
      </c>
      <c r="H104" t="n">
        <v>91</v>
      </c>
    </row>
    <row r="105">
      <c r="A105" t="inlineStr">
        <is>
          <t>7</t>
        </is>
      </c>
      <c r="B105" t="n">
        <v>40</v>
      </c>
      <c r="C105" t="n">
        <v>49</v>
      </c>
      <c r="D105" t="n">
        <v>47</v>
      </c>
      <c r="E105" t="n">
        <v>32</v>
      </c>
      <c r="F105" t="n">
        <v>37</v>
      </c>
      <c r="G105" t="n">
        <v>38</v>
      </c>
      <c r="H105" t="n">
        <v>49</v>
      </c>
    </row>
    <row r="106">
      <c r="A106" t="inlineStr">
        <is>
          <t>8</t>
        </is>
      </c>
      <c r="B106" t="n">
        <v>35</v>
      </c>
      <c r="C106" t="n">
        <v>49</v>
      </c>
      <c r="D106" t="n">
        <v>67</v>
      </c>
      <c r="E106" t="n">
        <v>42</v>
      </c>
      <c r="F106" t="n">
        <v>49</v>
      </c>
      <c r="G106" t="n">
        <v>48</v>
      </c>
      <c r="H106" t="n">
        <v>50</v>
      </c>
    </row>
    <row r="107">
      <c r="A107" t="inlineStr">
        <is>
          <t>9</t>
        </is>
      </c>
      <c r="B107" t="n">
        <v>58</v>
      </c>
      <c r="C107" t="n">
        <v>66</v>
      </c>
      <c r="D107" t="n">
        <v>62</v>
      </c>
      <c r="E107" t="n">
        <v>81</v>
      </c>
      <c r="F107" t="n">
        <v>65</v>
      </c>
      <c r="G107" t="n">
        <v>70</v>
      </c>
      <c r="H107" t="n">
        <v>40</v>
      </c>
    </row>
    <row r="108">
      <c r="A108" t="inlineStr">
        <is>
          <t>10</t>
        </is>
      </c>
      <c r="B108" t="n">
        <v>84</v>
      </c>
      <c r="C108" t="n">
        <v>77</v>
      </c>
      <c r="D108" t="n">
        <v>64</v>
      </c>
      <c r="E108" t="n">
        <v>67</v>
      </c>
      <c r="F108" t="n">
        <v>67</v>
      </c>
      <c r="G108" t="n">
        <v>53</v>
      </c>
      <c r="H108" t="n">
        <v>48</v>
      </c>
    </row>
    <row r="109">
      <c r="A109" t="inlineStr">
        <is>
          <t>11</t>
        </is>
      </c>
      <c r="B109" t="n">
        <v>100</v>
      </c>
      <c r="C109" t="n">
        <v>78</v>
      </c>
      <c r="D109" t="n">
        <v>102</v>
      </c>
      <c r="E109" t="n">
        <v>81</v>
      </c>
      <c r="F109" t="n">
        <v>90</v>
      </c>
      <c r="G109" t="n">
        <v>65</v>
      </c>
      <c r="H109" t="n">
        <v>56</v>
      </c>
    </row>
    <row r="110">
      <c r="A110" t="inlineStr">
        <is>
          <t>12</t>
        </is>
      </c>
      <c r="B110" t="n">
        <v>101</v>
      </c>
      <c r="C110" t="n">
        <v>81</v>
      </c>
      <c r="D110" t="n">
        <v>88</v>
      </c>
      <c r="E110" t="n">
        <v>83</v>
      </c>
      <c r="F110" t="n">
        <v>80</v>
      </c>
      <c r="G110" t="n">
        <v>64</v>
      </c>
      <c r="H110" t="n">
        <v>53</v>
      </c>
    </row>
    <row r="111">
      <c r="A111" t="inlineStr">
        <is>
          <t>13</t>
        </is>
      </c>
      <c r="B111" t="n">
        <v>122</v>
      </c>
      <c r="C111" t="n">
        <v>95</v>
      </c>
      <c r="D111" t="n">
        <v>104</v>
      </c>
      <c r="E111" t="n">
        <v>73</v>
      </c>
      <c r="F111" t="n">
        <v>80</v>
      </c>
      <c r="G111" t="n">
        <v>63</v>
      </c>
      <c r="H111" t="n">
        <v>61</v>
      </c>
    </row>
    <row r="112">
      <c r="A112" t="inlineStr">
        <is>
          <t>14</t>
        </is>
      </c>
      <c r="B112" t="n">
        <v>98</v>
      </c>
      <c r="C112" t="n">
        <v>85</v>
      </c>
      <c r="D112" t="n">
        <v>94</v>
      </c>
      <c r="E112" t="n">
        <v>84</v>
      </c>
      <c r="F112" t="n">
        <v>69</v>
      </c>
      <c r="G112" t="n">
        <v>56</v>
      </c>
      <c r="H112" t="n">
        <v>52</v>
      </c>
    </row>
    <row r="113">
      <c r="A113" t="inlineStr">
        <is>
          <t>15</t>
        </is>
      </c>
      <c r="B113" t="n">
        <v>127</v>
      </c>
      <c r="C113" t="n">
        <v>85</v>
      </c>
      <c r="D113" t="n">
        <v>74</v>
      </c>
      <c r="E113" t="n">
        <v>76</v>
      </c>
      <c r="F113" t="n">
        <v>82</v>
      </c>
      <c r="G113" t="n">
        <v>62</v>
      </c>
      <c r="H113" t="n">
        <v>54</v>
      </c>
    </row>
    <row r="114">
      <c r="A114" t="inlineStr">
        <is>
          <t>16</t>
        </is>
      </c>
      <c r="B114" t="n">
        <v>95</v>
      </c>
      <c r="C114" t="n">
        <v>95</v>
      </c>
      <c r="D114" t="n">
        <v>95</v>
      </c>
      <c r="E114" t="n">
        <v>87</v>
      </c>
      <c r="F114" t="n">
        <v>71</v>
      </c>
      <c r="G114" t="n">
        <v>38</v>
      </c>
      <c r="H114" t="n">
        <v>63</v>
      </c>
    </row>
    <row r="115">
      <c r="A115" t="inlineStr">
        <is>
          <t>17</t>
        </is>
      </c>
      <c r="B115" t="n">
        <v>83</v>
      </c>
      <c r="C115" t="n">
        <v>67</v>
      </c>
      <c r="D115" t="n">
        <v>74</v>
      </c>
      <c r="E115" t="n">
        <v>70</v>
      </c>
      <c r="F115" t="n">
        <v>75</v>
      </c>
      <c r="G115" t="n">
        <v>40</v>
      </c>
      <c r="H115" t="n">
        <v>41</v>
      </c>
    </row>
    <row r="116">
      <c r="A116" t="inlineStr">
        <is>
          <t>18</t>
        </is>
      </c>
      <c r="B116" t="n">
        <v>61</v>
      </c>
      <c r="C116" t="n">
        <v>60</v>
      </c>
      <c r="D116" t="n">
        <v>87</v>
      </c>
      <c r="E116" t="n">
        <v>69</v>
      </c>
      <c r="F116" t="n">
        <v>67</v>
      </c>
      <c r="G116" t="n">
        <v>44</v>
      </c>
      <c r="H116" t="n">
        <v>48</v>
      </c>
    </row>
    <row r="117">
      <c r="A117" t="inlineStr">
        <is>
          <t>19</t>
        </is>
      </c>
      <c r="B117" t="n">
        <v>46</v>
      </c>
      <c r="C117" t="n">
        <v>43</v>
      </c>
      <c r="D117" t="n">
        <v>50</v>
      </c>
      <c r="E117" t="n">
        <v>40</v>
      </c>
      <c r="F117" t="n">
        <v>52</v>
      </c>
      <c r="G117" t="n">
        <v>48</v>
      </c>
      <c r="H117" t="n">
        <v>37</v>
      </c>
    </row>
    <row r="118">
      <c r="A118" t="inlineStr">
        <is>
          <t>20</t>
        </is>
      </c>
      <c r="B118" t="n">
        <v>40</v>
      </c>
      <c r="C118" t="n">
        <v>43</v>
      </c>
      <c r="D118" t="n">
        <v>62</v>
      </c>
      <c r="E118" t="n">
        <v>49</v>
      </c>
      <c r="F118" t="n">
        <v>40</v>
      </c>
      <c r="G118" t="n">
        <v>29</v>
      </c>
      <c r="H118" t="n">
        <v>38</v>
      </c>
    </row>
    <row r="119">
      <c r="A119" t="inlineStr">
        <is>
          <t>21</t>
        </is>
      </c>
      <c r="B119" t="n">
        <v>58</v>
      </c>
      <c r="C119" t="n">
        <v>65</v>
      </c>
      <c r="D119" t="n">
        <v>56</v>
      </c>
      <c r="E119" t="n">
        <v>50</v>
      </c>
      <c r="F119" t="n">
        <v>49</v>
      </c>
      <c r="G119" t="n">
        <v>38</v>
      </c>
      <c r="H119" t="n">
        <v>62</v>
      </c>
    </row>
    <row r="120">
      <c r="A120" t="inlineStr">
        <is>
          <t>22</t>
        </is>
      </c>
      <c r="B120" t="n">
        <v>44</v>
      </c>
      <c r="C120" t="n">
        <v>54</v>
      </c>
      <c r="D120" t="n">
        <v>51</v>
      </c>
      <c r="E120" t="n">
        <v>52</v>
      </c>
      <c r="F120" t="n">
        <v>47</v>
      </c>
      <c r="G120" t="n">
        <v>27</v>
      </c>
      <c r="H120" t="n">
        <v>36</v>
      </c>
    </row>
    <row r="121">
      <c r="A121" t="inlineStr">
        <is>
          <t>23</t>
        </is>
      </c>
      <c r="B121" t="n">
        <v>39</v>
      </c>
      <c r="C121" t="n">
        <v>53</v>
      </c>
      <c r="D121" t="n">
        <v>32</v>
      </c>
      <c r="E121" t="n">
        <v>50</v>
      </c>
      <c r="F121" t="n">
        <v>46</v>
      </c>
      <c r="G121" t="n">
        <v>28</v>
      </c>
      <c r="H121" t="n">
        <v>38</v>
      </c>
    </row>
    <row r="123" ht="10" customHeight="1"/>
    <row r="124" ht="26" customHeight="1">
      <c r="A124" s="9" t="inlineStr">
        <is>
          <t>🤖 AI Insight</t>
        </is>
      </c>
    </row>
    <row r="125" ht="30" customHeight="1">
      <c r="A125" s="11" t="inlineStr">
        <is>
          <t>📌 Finding: System health is critically low at 33/100, with an average Mean Time to Resolution (MTTR) of 29.4 hours, indicating severe and prolonged service disruptions. The high volume of 8,977 total incidents suggests this is a systemic, recurring issue rather than isolated events.</t>
        </is>
      </c>
    </row>
    <row r="126" ht="6" customHeight="1"/>
    <row r="127" ht="30" customHeight="1">
      <c r="A127" s="11" t="inlineStr">
        <is>
          <t>🔍 Root Cause: The extreme MTTR, nearly 1.25 days, is the primary driver of the poor health score. This prolonged resolution time is likely caused by a combination of insufficient automated monitoring/alerting, leading to delayed detection, and complex, manual remediation processes without clear runbooks or tiered escalation protocols. The high incident volume points to underlying architectural instability or a lack of effective problem management to address root causes.</t>
        </is>
      </c>
    </row>
    <row r="128" ht="6" customHeight="1"/>
    <row r="129" ht="30" customHeight="1">
      <c r="A129" s="11" t="inlineStr">
        <is>
          <t>💡 Recommendations:</t>
        </is>
      </c>
    </row>
    <row r="130" ht="30" customHeight="1">
      <c r="A130" s="10" t="inlineStr">
        <is>
          <t>1.  **Implement Tiered Incident Response &amp; Escalation:** Define clear severity levels (e.g., SEV-1, SEV-2) with strict MTTR targets and escalation paths to specialized engineering teams after a defined threshold (e.g., 2 hours). This ensures critical issues receive appropriate priority and resources.</t>
        </is>
      </c>
    </row>
    <row r="131" ht="30" customHeight="1">
      <c r="A131" s="10" t="inlineStr">
        <is>
          <t>2.  **Develop and Automate Standard Runbooks:** For the top 20% most frequent incident types, create detailed, step-by-step resolution playbooks. Automate the initial diagnostic steps and, where possible, remediation actions to drastically reduce manual investigation time.</t>
        </is>
      </c>
    </row>
    <row r="132" ht="30" customHeight="1">
      <c r="A132" s="10" t="inlineStr">
        <is>
          <t>3.  **Establish a Dedicated Problem Management Function:** Form a cross-functional team tasked with analyzing incident trends to identify and permanently resolve underlying system flaws (e.g., fragile dependencies, recurring database locks), thereby reducing the total incident volume.</t>
        </is>
      </c>
    </row>
    <row r="133" ht="6" customHeight="1"/>
    <row r="134" ht="30" customHeight="1">
      <c r="A134" s="11" t="inlineStr">
        <is>
          <t>📈 Expected Impact: Implementing these measures should directly attack the core MTTR and volume issues. We expect a **25-35% reduction in Avg MTTR (to approximately 19-22 hours)** within the next quarter by streamlining response. Furthermore, proactive problem management should lead to a **10-15% reduction in recurring incident volume** over the next two quarters, contributing to a projected Health Score improvement of 20-25 points.</t>
        </is>
      </c>
    </row>
    <row r="135" ht="10" customHeight="1"/>
    <row r="136" ht="10" customHeight="1"/>
    <row r="137">
      <c r="A137" s="12" t="inlineStr">
        <is>
          <t>Generated by Customer Cross-Overview Report • 2026-01-30 23:00</t>
        </is>
      </c>
    </row>
  </sheetData>
  <mergeCells count="18">
    <mergeCell ref="A1:J1"/>
    <mergeCell ref="A5:J5"/>
    <mergeCell ref="A132:J132"/>
    <mergeCell ref="A127:J127"/>
    <mergeCell ref="A131:J131"/>
    <mergeCell ref="A137:J137"/>
    <mergeCell ref="A124:J124"/>
    <mergeCell ref="A130:J130"/>
    <mergeCell ref="A34:J34"/>
    <mergeCell ref="A69:J69"/>
    <mergeCell ref="A4:J4"/>
    <mergeCell ref="A24:J24"/>
    <mergeCell ref="A2:J2"/>
    <mergeCell ref="A125:J125"/>
    <mergeCell ref="A134:J134"/>
    <mergeCell ref="A42:J42"/>
    <mergeCell ref="A41:J41"/>
    <mergeCell ref="A129:J129"/>
  </mergeCells>
  <conditionalFormatting sqref="B98:H121">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4b8a6"/>
    <outlinePr summaryBelow="1" summaryRight="1"/>
    <pageSetUpPr fitToPage="1"/>
  </sheetPr>
  <dimension ref="A1:J92"/>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Action Plan</t>
        </is>
      </c>
    </row>
    <row r="2" ht="22" customHeight="1">
      <c r="A2" s="2" t="inlineStr">
        <is>
          <t>2024-04-19 — 2025-07-06</t>
        </is>
      </c>
    </row>
    <row r="3" ht="10" customHeight="1"/>
    <row r="4" ht="26" customHeight="1">
      <c r="A4" s="3" t="inlineStr">
        <is>
          <t>Data Tables</t>
        </is>
      </c>
    </row>
    <row r="5" ht="26" customHeight="1">
      <c r="A5" s="3" t="inlineStr">
        <is>
          <t>Action Items</t>
        </is>
      </c>
    </row>
    <row r="6" ht="20" customHeight="1">
      <c r="A6" s="4" t="inlineStr">
        <is>
          <t>#</t>
        </is>
      </c>
      <c r="B6" s="4" t="inlineStr">
        <is>
          <t>Priority</t>
        </is>
      </c>
      <c r="C6" s="4" t="inlineStr">
        <is>
          <t>Action</t>
        </is>
      </c>
      <c r="D6" s="4" t="inlineStr">
        <is>
          <t>Process</t>
        </is>
      </c>
      <c r="E6" s="4" t="inlineStr">
        <is>
          <t>Expected Effect</t>
        </is>
      </c>
    </row>
    <row r="7" ht="18" customHeight="1">
      <c r="A7" s="13" t="n">
        <v>1</v>
      </c>
      <c r="B7" s="5" t="inlineStr">
        <is>
          <t>URGENT</t>
        </is>
      </c>
      <c r="C7" s="5" t="inlineStr">
        <is>
          <t>Review and optimize incident SLA compliance processes</t>
        </is>
      </c>
      <c r="D7" s="5" t="inlineStr">
        <is>
          <t>incident</t>
        </is>
      </c>
      <c r="E7" s="5" t="inlineStr">
        <is>
          <t>Improve SLA rate by 10-15%</t>
        </is>
      </c>
    </row>
    <row r="8" ht="18" customHeight="1">
      <c r="A8" s="14" t="n">
        <v>2</v>
      </c>
      <c r="B8" s="6" t="inlineStr">
        <is>
          <t>URGENT</t>
        </is>
      </c>
      <c r="C8" s="6" t="inlineStr">
        <is>
          <t>Implement post-change validation and monitoring</t>
        </is>
      </c>
      <c r="D8" s="6" t="inlineStr">
        <is>
          <t>change</t>
        </is>
      </c>
      <c r="E8" s="6" t="inlineStr">
        <is>
          <t>Reduce change-induced incidents by 50%</t>
        </is>
      </c>
    </row>
    <row r="9" ht="18" customHeight="1">
      <c r="A9" s="13" t="n">
        <v>3</v>
      </c>
      <c r="B9" s="5" t="inlineStr">
        <is>
          <t>HIGH</t>
        </is>
      </c>
      <c r="C9" s="5" t="inlineStr">
        <is>
          <t>Strengthen change assessment and testing procedures</t>
        </is>
      </c>
      <c r="D9" s="5" t="inlineStr">
        <is>
          <t>change</t>
        </is>
      </c>
      <c r="E9" s="5" t="inlineStr">
        <is>
          <t>Improve change success rate to 95%+</t>
        </is>
      </c>
    </row>
    <row r="10" ht="18" customHeight="1">
      <c r="A10" s="14" t="n">
        <v>4</v>
      </c>
      <c r="B10" s="6" t="inlineStr">
        <is>
          <t>MEDIUM</t>
        </is>
      </c>
      <c r="C10" s="6" t="inlineStr">
        <is>
          <t>Analyze and streamline incident resolution workflow</t>
        </is>
      </c>
      <c r="D10" s="6" t="inlineStr">
        <is>
          <t>incident</t>
        </is>
      </c>
      <c r="E10" s="6" t="inlineStr">
        <is>
          <t>Reduce average MTTR by 20-30%</t>
        </is>
      </c>
    </row>
    <row r="11" ht="18" customHeight="1">
      <c r="A11" s="13"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Risk Summary</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Visual Analysis</t>
        </is>
      </c>
    </row>
    <row r="25" ht="16" customHeight="1">
      <c r="A25" s="8" t="inlineStr">
        <is>
          <t>Action items by priority level</t>
        </is>
      </c>
    </row>
    <row r="52" ht="16" customHeight="1">
      <c r="A52" s="8" t="inlineStr">
        <is>
          <t>Action items by source process</t>
        </is>
      </c>
    </row>
    <row r="79" ht="10" customHeight="1"/>
    <row r="80" ht="26" customHeight="1">
      <c r="A80" s="9" t="inlineStr">
        <is>
          <t>🤖 AI Insight</t>
        </is>
      </c>
    </row>
    <row r="81" ht="30" customHeight="1">
      <c r="A81" s="11" t="inlineStr">
        <is>
          <t>📌 Finding: The IT operations health score of 33/100 is critically driven by two primary failures: Incident SLA compliance is only 64.2%, and 18.0% of changes (9 total) are directly causing service incidents.</t>
        </is>
      </c>
    </row>
    <row r="82" ht="6" customHeight="1"/>
    <row r="83" ht="30" customHeight="1">
      <c r="A83" s="11" t="inlineStr">
        <is>
          <t>🔍 Root Cause: Data indicates a systemic breakdown in both change management and incident response governance. The high rate of change-induced incidents (18.0%) points to inadequate pre-implementation assessment and post-implementation validation. Concurrently, the low SLA compliance and excessively high MTTRs (e.g., 341.8h for Customer Complaints) reveal inefficient resolution workflows and a lack of robust, standardized processes for priority incident handling.</t>
        </is>
      </c>
    </row>
    <row r="84" ht="6" customHeight="1"/>
    <row r="85" ht="30" customHeight="1">
      <c r="A85" s="11" t="inlineStr">
        <is>
          <t>💡 Recommendations:</t>
        </is>
      </c>
    </row>
    <row r="86" ht="30" customHeight="1">
      <c r="A86" s="10" t="inlineStr">
        <is>
          <t>1.  **Immediately Implement a Mandatory Post-Change Validation Checklist:** For all changes, require a 48-hour monitoring period with defined success criteria. Assign the change owner responsibility for validation before closing the change ticket.</t>
        </is>
      </c>
    </row>
    <row r="87" ht="30" customHeight="1">
      <c r="A87" s="10" t="inlineStr">
        <is>
          <t>2.  **Establish a Tiered Incident Response Protocol:** Redesign the incident workflow to mandate immediate senior engineer escalation for any incident breaching SLA or categorized as 'Critical'/'Customer Complaint', aiming to reduce the 'Customer Complaint' MTTR by 50% within the next quarter.</t>
        </is>
      </c>
    </row>
    <row r="88" ht="6" customHeight="1"/>
    <row r="89" ht="30" customHeight="1">
      <c r="A89" s="11" t="inlineStr">
        <is>
          <t>📈 Expected Impact: Executing these actions is projected to increase the overall Health Score by 20-25 points. Specifically, targeting a reduction in change-induced incidents to below 5% and improving Incident SLA compliance to 85%+ within 90 days.</t>
        </is>
      </c>
    </row>
    <row r="90" ht="10" customHeight="1"/>
    <row r="91" ht="10" customHeight="1"/>
    <row r="92">
      <c r="A92" s="12" t="inlineStr">
        <is>
          <t>Generated by Customer Cross-Overview Report • 2026-01-30 23:00</t>
        </is>
      </c>
    </row>
  </sheetData>
  <mergeCells count="16">
    <mergeCell ref="A85:J85"/>
    <mergeCell ref="A1:J1"/>
    <mergeCell ref="A5:J5"/>
    <mergeCell ref="A80:J80"/>
    <mergeCell ref="A89:J89"/>
    <mergeCell ref="A92:J92"/>
    <mergeCell ref="A83:J83"/>
    <mergeCell ref="A87:J87"/>
    <mergeCell ref="A4:J4"/>
    <mergeCell ref="A81:J81"/>
    <mergeCell ref="A24:J24"/>
    <mergeCell ref="A2:J2"/>
    <mergeCell ref="A86:J86"/>
    <mergeCell ref="A52:J52"/>
    <mergeCell ref="A25:J25"/>
    <mergeCell ref="A13:J13"/>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2026-01-30T15:00:12Z</dcterms:created>
  <dcterms:modified xmlns:dcterms="http://purl.org/dc/terms/" xmlns:xsi="http://www.w3.org/2001/XMLSchema-instance" xsi:type="dcterms:W3CDTF">2026-01-30T15:00:14Z</dcterms:modified>
</cp:coreProperties>
</file>